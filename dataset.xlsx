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visible" name="List 2" sheetId="2" r:id="rId6"/>
    <sheet state="visible" name="List 3" sheetId="3" r:id="rId7"/>
  </sheets>
  <definedNames/>
  <calcPr/>
</workbook>
</file>

<file path=xl/sharedStrings.xml><?xml version="1.0" encoding="utf-8"?>
<sst xmlns="http://schemas.openxmlformats.org/spreadsheetml/2006/main" count="3057" uniqueCount="569">
  <si>
    <t>obor_id</t>
  </si>
  <si>
    <t>nazev_oboru</t>
  </si>
  <si>
    <t>kod_oboru</t>
  </si>
  <si>
    <t>zajem_technika</t>
  </si>
  <si>
    <t>zajem_lide</t>
  </si>
  <si>
    <t>prace_rukama</t>
  </si>
  <si>
    <t>prace_s_pocitacem</t>
  </si>
  <si>
    <t>kreativita</t>
  </si>
  <si>
    <t>teorie_vs_praxe</t>
  </si>
  <si>
    <t>poptavka_v_kraji_1_5</t>
  </si>
  <si>
    <t>pocet_skol_v_kraji</t>
  </si>
  <si>
    <t>absolventi_kraj_2024</t>
  </si>
  <si>
    <t>nove_prijati_kraj</t>
  </si>
  <si>
    <t>vyucuje_se_v</t>
  </si>
  <si>
    <t>nastupni_mzda_kc</t>
  </si>
  <si>
    <t>uplatnitelnost_v_kraji_procent</t>
  </si>
  <si>
    <t>riziko_odlivu_1_5</t>
  </si>
  <si>
    <t>O01</t>
  </si>
  <si>
    <t>Agropodnikání</t>
  </si>
  <si>
    <t>41-41-M/01</t>
  </si>
  <si>
    <t>3</t>
  </si>
  <si>
    <t>2</t>
  </si>
  <si>
    <t>4</t>
  </si>
  <si>
    <t>45</t>
  </si>
  <si>
    <t>1</t>
  </si>
  <si>
    <t>6</t>
  </si>
  <si>
    <t>17</t>
  </si>
  <si>
    <t>Cheb</t>
  </si>
  <si>
    <t>28000</t>
  </si>
  <si>
    <t>54.5</t>
  </si>
  <si>
    <t>O02</t>
  </si>
  <si>
    <t>Aplikovaná chemie</t>
  </si>
  <si>
    <t>28-44-M/01</t>
  </si>
  <si>
    <t>68</t>
  </si>
  <si>
    <t>12</t>
  </si>
  <si>
    <t>15</t>
  </si>
  <si>
    <t>Karlovy Vary</t>
  </si>
  <si>
    <t>30300</t>
  </si>
  <si>
    <t>52.1</t>
  </si>
  <si>
    <t>O03</t>
  </si>
  <si>
    <t>Autotronik</t>
  </si>
  <si>
    <t>39-41-L/01</t>
  </si>
  <si>
    <t>5</t>
  </si>
  <si>
    <t>30</t>
  </si>
  <si>
    <t>22</t>
  </si>
  <si>
    <t>32</t>
  </si>
  <si>
    <t>Ostrov</t>
  </si>
  <si>
    <t>34400</t>
  </si>
  <si>
    <t>76.0</t>
  </si>
  <si>
    <t>O04</t>
  </si>
  <si>
    <t>Cestovní ruch</t>
  </si>
  <si>
    <t>65-42-M/02</t>
  </si>
  <si>
    <t>48</t>
  </si>
  <si>
    <t>57</t>
  </si>
  <si>
    <t>64</t>
  </si>
  <si>
    <t>28400</t>
  </si>
  <si>
    <t>56.0</t>
  </si>
  <si>
    <t>O05</t>
  </si>
  <si>
    <t>Cukrář</t>
  </si>
  <si>
    <t>29-54-H/01</t>
  </si>
  <si>
    <t>14</t>
  </si>
  <si>
    <t>11</t>
  </si>
  <si>
    <t>22700</t>
  </si>
  <si>
    <t>66.6</t>
  </si>
  <si>
    <t>O06</t>
  </si>
  <si>
    <t>Ekologie a životní prostředí</t>
  </si>
  <si>
    <t>16-01-M/01</t>
  </si>
  <si>
    <t>70</t>
  </si>
  <si>
    <t>13</t>
  </si>
  <si>
    <t>27000</t>
  </si>
  <si>
    <t>44,3</t>
  </si>
  <si>
    <t>O07</t>
  </si>
  <si>
    <t>Ekonomika a podnikání</t>
  </si>
  <si>
    <t>63-41-M/01</t>
  </si>
  <si>
    <t>60</t>
  </si>
  <si>
    <t>56</t>
  </si>
  <si>
    <t>Cheb; Sokolov</t>
  </si>
  <si>
    <t>31400</t>
  </si>
  <si>
    <t>48.3</t>
  </si>
  <si>
    <t>O08</t>
  </si>
  <si>
    <t>Elektrikář</t>
  </si>
  <si>
    <t>26-51-H/01</t>
  </si>
  <si>
    <t>20</t>
  </si>
  <si>
    <t>16</t>
  </si>
  <si>
    <t>Sokolov</t>
  </si>
  <si>
    <t>33100</t>
  </si>
  <si>
    <t>82.3</t>
  </si>
  <si>
    <t>O09</t>
  </si>
  <si>
    <t>Elektrikář – silnoproud</t>
  </si>
  <si>
    <t>26-51-H/02</t>
  </si>
  <si>
    <t>18</t>
  </si>
  <si>
    <t>19</t>
  </si>
  <si>
    <t>34000</t>
  </si>
  <si>
    <t>85.3</t>
  </si>
  <si>
    <t>O10</t>
  </si>
  <si>
    <t>Elektromechanik pro zařízení a přístroje</t>
  </si>
  <si>
    <t>26-52-H/01</t>
  </si>
  <si>
    <t>25</t>
  </si>
  <si>
    <t>7</t>
  </si>
  <si>
    <t>31</t>
  </si>
  <si>
    <t>32000</t>
  </si>
  <si>
    <t>76.7</t>
  </si>
  <si>
    <t>O11</t>
  </si>
  <si>
    <t>Elektrotechnika</t>
  </si>
  <si>
    <t>26-41-M/01</t>
  </si>
  <si>
    <t>40</t>
  </si>
  <si>
    <t>37</t>
  </si>
  <si>
    <t>65</t>
  </si>
  <si>
    <t>Ostrov; Sokolov</t>
  </si>
  <si>
    <t>34900</t>
  </si>
  <si>
    <t>74.8</t>
  </si>
  <si>
    <t>O12</t>
  </si>
  <si>
    <t>Gastronomie</t>
  </si>
  <si>
    <t>65-41-L/01</t>
  </si>
  <si>
    <t>27200</t>
  </si>
  <si>
    <t>63.9</t>
  </si>
  <si>
    <t>O13</t>
  </si>
  <si>
    <t>Grafický design</t>
  </si>
  <si>
    <t>82-41-M/05</t>
  </si>
  <si>
    <t>27500</t>
  </si>
  <si>
    <t>O14</t>
  </si>
  <si>
    <t>Gymnázium (osmileté)</t>
  </si>
  <si>
    <t>79-41-K/81</t>
  </si>
  <si>
    <t>93</t>
  </si>
  <si>
    <t>97</t>
  </si>
  <si>
    <t>148</t>
  </si>
  <si>
    <t>Aš; Cheb; Karlovy Vary</t>
  </si>
  <si>
    <t>30800</t>
  </si>
  <si>
    <t>18.8</t>
  </si>
  <si>
    <t>O15</t>
  </si>
  <si>
    <t>Gymnázium (čtyřleté)</t>
  </si>
  <si>
    <t>79-41-K/41</t>
  </si>
  <si>
    <t>92</t>
  </si>
  <si>
    <t>28</t>
  </si>
  <si>
    <t>38000</t>
  </si>
  <si>
    <t>19.2</t>
  </si>
  <si>
    <t>O17</t>
  </si>
  <si>
    <t>Informační služby</t>
  </si>
  <si>
    <t>72-41-M/01</t>
  </si>
  <si>
    <t>55</t>
  </si>
  <si>
    <t>27800</t>
  </si>
  <si>
    <t>51.7</t>
  </si>
  <si>
    <t>O18</t>
  </si>
  <si>
    <t>Informační technologie</t>
  </si>
  <si>
    <t>18-20-M/01</t>
  </si>
  <si>
    <t>51</t>
  </si>
  <si>
    <t>86</t>
  </si>
  <si>
    <t>Cheb; Ostrov; Sokolov</t>
  </si>
  <si>
    <t>38300</t>
  </si>
  <si>
    <t>69.3</t>
  </si>
  <si>
    <t>O19</t>
  </si>
  <si>
    <t>Instalatér</t>
  </si>
  <si>
    <t>36-52-H/01</t>
  </si>
  <si>
    <t>24</t>
  </si>
  <si>
    <t>32200</t>
  </si>
  <si>
    <t>77.3</t>
  </si>
  <si>
    <t>O20</t>
  </si>
  <si>
    <t>Kadeřník</t>
  </si>
  <si>
    <t>69-51-H/01</t>
  </si>
  <si>
    <t>36</t>
  </si>
  <si>
    <t>79</t>
  </si>
  <si>
    <t>22300</t>
  </si>
  <si>
    <t>68.3</t>
  </si>
  <si>
    <t>O21</t>
  </si>
  <si>
    <t>Kosmetické služby</t>
  </si>
  <si>
    <t>69-41-L/01</t>
  </si>
  <si>
    <t>29</t>
  </si>
  <si>
    <t>23600</t>
  </si>
  <si>
    <t>62.9</t>
  </si>
  <si>
    <t>O22</t>
  </si>
  <si>
    <t>Kuchař–číšník</t>
  </si>
  <si>
    <t>65-51-H/01</t>
  </si>
  <si>
    <t>96</t>
  </si>
  <si>
    <t>234</t>
  </si>
  <si>
    <t>Karlovy Vary; Mariánské Lázně; Sokolov</t>
  </si>
  <si>
    <t>24200</t>
  </si>
  <si>
    <t>66.7</t>
  </si>
  <si>
    <t>O23</t>
  </si>
  <si>
    <t>Laboratorní asistent</t>
  </si>
  <si>
    <t>53-43-M/01</t>
  </si>
  <si>
    <t>30600</t>
  </si>
  <si>
    <t>69.6</t>
  </si>
  <si>
    <t>O24</t>
  </si>
  <si>
    <t>Lesnictví</t>
  </si>
  <si>
    <t>41-46-M/01</t>
  </si>
  <si>
    <t>Žlutice</t>
  </si>
  <si>
    <t>27600</t>
  </si>
  <si>
    <t>61.5</t>
  </si>
  <si>
    <t>O25</t>
  </si>
  <si>
    <t>Lesní mechanizátor</t>
  </si>
  <si>
    <t>41-56-H/01</t>
  </si>
  <si>
    <t>30200</t>
  </si>
  <si>
    <t>69.5</t>
  </si>
  <si>
    <t>O27</t>
  </si>
  <si>
    <t>Masér ve zdravotnictví</t>
  </si>
  <si>
    <t>53-41-M/04</t>
  </si>
  <si>
    <t>38</t>
  </si>
  <si>
    <t>27900</t>
  </si>
  <si>
    <t>O28</t>
  </si>
  <si>
    <t>Mechanik opravář motorových vozidel</t>
  </si>
  <si>
    <t>23-68-H/01</t>
  </si>
  <si>
    <t>33</t>
  </si>
  <si>
    <t>77.4</t>
  </si>
  <si>
    <t>O29</t>
  </si>
  <si>
    <t>Mechanik seřizovač</t>
  </si>
  <si>
    <t>23-45-L/01</t>
  </si>
  <si>
    <t>0</t>
  </si>
  <si>
    <t>Kraslice</t>
  </si>
  <si>
    <t>35200</t>
  </si>
  <si>
    <t>82.6</t>
  </si>
  <si>
    <t>O30</t>
  </si>
  <si>
    <t>Nutriční asistent</t>
  </si>
  <si>
    <t>53-41-M/02</t>
  </si>
  <si>
    <t>50</t>
  </si>
  <si>
    <t>55.8</t>
  </si>
  <si>
    <t>O31</t>
  </si>
  <si>
    <t>Nástrojař</t>
  </si>
  <si>
    <t>23-52-H/01</t>
  </si>
  <si>
    <t>33200</t>
  </si>
  <si>
    <t>77.2</t>
  </si>
  <si>
    <t>O32</t>
  </si>
  <si>
    <t>Obchodní akademie</t>
  </si>
  <si>
    <t>63-41-M/02</t>
  </si>
  <si>
    <t>28900</t>
  </si>
  <si>
    <t>47.1</t>
  </si>
  <si>
    <t>O33</t>
  </si>
  <si>
    <t>Obráběč kovů</t>
  </si>
  <si>
    <t>23-56-H/01</t>
  </si>
  <si>
    <t>32600</t>
  </si>
  <si>
    <t>80.3</t>
  </si>
  <si>
    <t>O34</t>
  </si>
  <si>
    <t>Operátor skladování</t>
  </si>
  <si>
    <t>66-53-H/01</t>
  </si>
  <si>
    <t>23</t>
  </si>
  <si>
    <t>Dalovice</t>
  </si>
  <si>
    <t>28700</t>
  </si>
  <si>
    <t>O35</t>
  </si>
  <si>
    <t>Opravář zemědělských strojů</t>
  </si>
  <si>
    <t>41-55-H/01</t>
  </si>
  <si>
    <t>26</t>
  </si>
  <si>
    <t>28600</t>
  </si>
  <si>
    <t>73.6</t>
  </si>
  <si>
    <t>O36</t>
  </si>
  <si>
    <t>Ošetřovatel</t>
  </si>
  <si>
    <t>53-41-H/01</t>
  </si>
  <si>
    <t>80.4</t>
  </si>
  <si>
    <t>O37</t>
  </si>
  <si>
    <t>Pedagogické lyceum</t>
  </si>
  <si>
    <t>78-42-M/03</t>
  </si>
  <si>
    <t>72</t>
  </si>
  <si>
    <t>34</t>
  </si>
  <si>
    <t>28300</t>
  </si>
  <si>
    <t>42.8</t>
  </si>
  <si>
    <t>O38</t>
  </si>
  <si>
    <t>Praktická sestra</t>
  </si>
  <si>
    <t>53-41-M/03</t>
  </si>
  <si>
    <t>34100</t>
  </si>
  <si>
    <t>87.1</t>
  </si>
  <si>
    <t>O39</t>
  </si>
  <si>
    <t>Provoz a ekonomika dopravy</t>
  </si>
  <si>
    <t>37-41-M/01</t>
  </si>
  <si>
    <t>27</t>
  </si>
  <si>
    <t>63.0</t>
  </si>
  <si>
    <t>O40</t>
  </si>
  <si>
    <t>Předškolní a mimoškolní pedagogika</t>
  </si>
  <si>
    <t>75-31-M/01</t>
  </si>
  <si>
    <t>62</t>
  </si>
  <si>
    <t>66</t>
  </si>
  <si>
    <t>28800</t>
  </si>
  <si>
    <t>69.8</t>
  </si>
  <si>
    <t>O41</t>
  </si>
  <si>
    <t>Sklář – výrobce a zušlechťovatel skla</t>
  </si>
  <si>
    <t>28-58-H/01</t>
  </si>
  <si>
    <t>8</t>
  </si>
  <si>
    <t>29800</t>
  </si>
  <si>
    <t>77.7</t>
  </si>
  <si>
    <t>O42</t>
  </si>
  <si>
    <t>Sociální činnost</t>
  </si>
  <si>
    <t>75-41-M/01</t>
  </si>
  <si>
    <t>O43</t>
  </si>
  <si>
    <t>Stavebnictví</t>
  </si>
  <si>
    <t>36-47-M/01</t>
  </si>
  <si>
    <t>30900</t>
  </si>
  <si>
    <t>71.3</t>
  </si>
  <si>
    <t>O44</t>
  </si>
  <si>
    <t>Strojní mechanik</t>
  </si>
  <si>
    <t>23-51-H/01</t>
  </si>
  <si>
    <t>Karlovy Vary; Kraslice; Sokolov</t>
  </si>
  <si>
    <t>31500</t>
  </si>
  <si>
    <t>75.0</t>
  </si>
  <si>
    <t>O45</t>
  </si>
  <si>
    <t>Strojírenství</t>
  </si>
  <si>
    <t>23-41-M/01</t>
  </si>
  <si>
    <t>42</t>
  </si>
  <si>
    <t>Cheb; Ostrov</t>
  </si>
  <si>
    <t>34600</t>
  </si>
  <si>
    <t>73.1</t>
  </si>
  <si>
    <t>O46</t>
  </si>
  <si>
    <t>Truhlář</t>
  </si>
  <si>
    <t>33-56-H/01</t>
  </si>
  <si>
    <t>10</t>
  </si>
  <si>
    <t>65.9</t>
  </si>
  <si>
    <t>O47</t>
  </si>
  <si>
    <t>Užitá fotografie a média</t>
  </si>
  <si>
    <t>82-41-M/02</t>
  </si>
  <si>
    <t>25000</t>
  </si>
  <si>
    <t>49.4</t>
  </si>
  <si>
    <t>O48</t>
  </si>
  <si>
    <t>Veřejnosprávní činnost</t>
  </si>
  <si>
    <t>68-43-M/01</t>
  </si>
  <si>
    <t>46.8</t>
  </si>
  <si>
    <t>O49</t>
  </si>
  <si>
    <t>Výrobce a dekoratér keramiky</t>
  </si>
  <si>
    <t>28-57-H/01</t>
  </si>
  <si>
    <t>26700</t>
  </si>
  <si>
    <t>59.3</t>
  </si>
  <si>
    <t>O50</t>
  </si>
  <si>
    <t>Výrobce textilií</t>
  </si>
  <si>
    <t>31-57-H/01</t>
  </si>
  <si>
    <t>9</t>
  </si>
  <si>
    <t>23700</t>
  </si>
  <si>
    <t>56.2</t>
  </si>
  <si>
    <t>O51</t>
  </si>
  <si>
    <t>Výtvarné zpracování skla a světelných objektů</t>
  </si>
  <si>
    <t>82-41-M/13</t>
  </si>
  <si>
    <t>26900</t>
  </si>
  <si>
    <t>60.9</t>
  </si>
  <si>
    <t>O52</t>
  </si>
  <si>
    <t>Zedník</t>
  </si>
  <si>
    <t>36-67-H/01</t>
  </si>
  <si>
    <t>21</t>
  </si>
  <si>
    <t>28100</t>
  </si>
  <si>
    <t>70.1</t>
  </si>
  <si>
    <t>zak_id</t>
  </si>
  <si>
    <t>obec_zs</t>
  </si>
  <si>
    <t>preference_teorie_procent</t>
  </si>
  <si>
    <t>znamka_matematika</t>
  </si>
  <si>
    <t>prumer_vysvedceni</t>
  </si>
  <si>
    <t>ochota_dojizdet_km</t>
  </si>
  <si>
    <t>zvoleny_obor_id</t>
  </si>
  <si>
    <t>pracuje_v_oboru_0_1</t>
  </si>
  <si>
    <t>zustal_v_kraji_0_1</t>
  </si>
  <si>
    <t>Shoda_IT</t>
  </si>
  <si>
    <t>Shoda_Mechanik</t>
  </si>
  <si>
    <t>Shoda_Design</t>
  </si>
  <si>
    <t>Index_IT</t>
  </si>
  <si>
    <t>Index_Mechanik</t>
  </si>
  <si>
    <t>Index_Design</t>
  </si>
  <si>
    <t>Z0002</t>
  </si>
  <si>
    <t>1.9</t>
  </si>
  <si>
    <t>O16</t>
  </si>
  <si>
    <t>Z0003</t>
  </si>
  <si>
    <t>61</t>
  </si>
  <si>
    <t>3.8</t>
  </si>
  <si>
    <t>Z0004</t>
  </si>
  <si>
    <t>1.2</t>
  </si>
  <si>
    <t>Z0005</t>
  </si>
  <si>
    <t>59</t>
  </si>
  <si>
    <t>2.3</t>
  </si>
  <si>
    <t>Z0006</t>
  </si>
  <si>
    <t>1.7</t>
  </si>
  <si>
    <t>Z0007</t>
  </si>
  <si>
    <t>2.6</t>
  </si>
  <si>
    <t>Z0008</t>
  </si>
  <si>
    <t>2.1</t>
  </si>
  <si>
    <t>Z0010</t>
  </si>
  <si>
    <t>71</t>
  </si>
  <si>
    <t>1.6</t>
  </si>
  <si>
    <t>Z0011</t>
  </si>
  <si>
    <t>1.8</t>
  </si>
  <si>
    <t>Z0012</t>
  </si>
  <si>
    <t>Z0013</t>
  </si>
  <si>
    <t>39</t>
  </si>
  <si>
    <t>Z0014</t>
  </si>
  <si>
    <t>41</t>
  </si>
  <si>
    <t>2.4</t>
  </si>
  <si>
    <t>Z0015</t>
  </si>
  <si>
    <t>Z0016</t>
  </si>
  <si>
    <t>52</t>
  </si>
  <si>
    <t>O26</t>
  </si>
  <si>
    <t>Z0017</t>
  </si>
  <si>
    <t>2.5</t>
  </si>
  <si>
    <t>Z0018</t>
  </si>
  <si>
    <t>58</t>
  </si>
  <si>
    <t>Z0020</t>
  </si>
  <si>
    <t>Z0021</t>
  </si>
  <si>
    <t>78</t>
  </si>
  <si>
    <t>Z0022</t>
  </si>
  <si>
    <t>83</t>
  </si>
  <si>
    <t>2.2</t>
  </si>
  <si>
    <t>Z0023</t>
  </si>
  <si>
    <t>49</t>
  </si>
  <si>
    <t>1.5</t>
  </si>
  <si>
    <t>Z0024</t>
  </si>
  <si>
    <t>Z0025</t>
  </si>
  <si>
    <t>44</t>
  </si>
  <si>
    <t>Z0027</t>
  </si>
  <si>
    <t>76</t>
  </si>
  <si>
    <t>3.0</t>
  </si>
  <si>
    <t>Z0028</t>
  </si>
  <si>
    <t>Z0029</t>
  </si>
  <si>
    <t>Z0031</t>
  </si>
  <si>
    <t>Z0032</t>
  </si>
  <si>
    <t>3.1</t>
  </si>
  <si>
    <t>Z0033</t>
  </si>
  <si>
    <t>Z0034</t>
  </si>
  <si>
    <t>53</t>
  </si>
  <si>
    <t>Z0035</t>
  </si>
  <si>
    <t>2.8</t>
  </si>
  <si>
    <t>Z0036</t>
  </si>
  <si>
    <t>46</t>
  </si>
  <si>
    <t>Z0037</t>
  </si>
  <si>
    <t>Z0038</t>
  </si>
  <si>
    <t>2.7</t>
  </si>
  <si>
    <t>Z0039</t>
  </si>
  <si>
    <t>1.0</t>
  </si>
  <si>
    <t>Z0040</t>
  </si>
  <si>
    <t>3.4</t>
  </si>
  <si>
    <t>Z0041</t>
  </si>
  <si>
    <t>Z0042</t>
  </si>
  <si>
    <t>84</t>
  </si>
  <si>
    <t>Z0043</t>
  </si>
  <si>
    <t>Z0044</t>
  </si>
  <si>
    <t>Z0045</t>
  </si>
  <si>
    <t>Z0046</t>
  </si>
  <si>
    <t>2.0</t>
  </si>
  <si>
    <t>Z0047</t>
  </si>
  <si>
    <t>1.3</t>
  </si>
  <si>
    <t>Z0048</t>
  </si>
  <si>
    <t>Z0049</t>
  </si>
  <si>
    <t>77</t>
  </si>
  <si>
    <t>Z0050</t>
  </si>
  <si>
    <t>Z0051</t>
  </si>
  <si>
    <t>2.9</t>
  </si>
  <si>
    <t>Z0053</t>
  </si>
  <si>
    <t>Z0054</t>
  </si>
  <si>
    <t>Z0055</t>
  </si>
  <si>
    <t>Z0056</t>
  </si>
  <si>
    <t>Z0057</t>
  </si>
  <si>
    <t>63</t>
  </si>
  <si>
    <t>Z0058</t>
  </si>
  <si>
    <t>Z0059</t>
  </si>
  <si>
    <t>Z0060</t>
  </si>
  <si>
    <t>Z0061</t>
  </si>
  <si>
    <t>Z0062</t>
  </si>
  <si>
    <t>Z0063</t>
  </si>
  <si>
    <t>Z0064</t>
  </si>
  <si>
    <t>89</t>
  </si>
  <si>
    <t>Z0065</t>
  </si>
  <si>
    <t>Z0066</t>
  </si>
  <si>
    <t>47</t>
  </si>
  <si>
    <t>Z0067</t>
  </si>
  <si>
    <t>Z0068</t>
  </si>
  <si>
    <t>Z0069</t>
  </si>
  <si>
    <t>Z0070</t>
  </si>
  <si>
    <t>Z0071</t>
  </si>
  <si>
    <t>Z0072</t>
  </si>
  <si>
    <t>3.2</t>
  </si>
  <si>
    <t>Z0073</t>
  </si>
  <si>
    <t>75</t>
  </si>
  <si>
    <t>Z0074</t>
  </si>
  <si>
    <t>88</t>
  </si>
  <si>
    <t>Z0075</t>
  </si>
  <si>
    <t>43</t>
  </si>
  <si>
    <t>Z0076</t>
  </si>
  <si>
    <t>Z0077</t>
  </si>
  <si>
    <t>Z0078</t>
  </si>
  <si>
    <t>1.4</t>
  </si>
  <si>
    <t>Z0079</t>
  </si>
  <si>
    <t>Z0080</t>
  </si>
  <si>
    <t>Z0081</t>
  </si>
  <si>
    <t>1.1</t>
  </si>
  <si>
    <t>Z0082</t>
  </si>
  <si>
    <t>Z0083</t>
  </si>
  <si>
    <t>81</t>
  </si>
  <si>
    <t>Z0084</t>
  </si>
  <si>
    <t>Z0085</t>
  </si>
  <si>
    <t>Z0086</t>
  </si>
  <si>
    <t>Z0087</t>
  </si>
  <si>
    <t>Z0088</t>
  </si>
  <si>
    <t>Z0089</t>
  </si>
  <si>
    <t>Z0091</t>
  </si>
  <si>
    <t>Z0092</t>
  </si>
  <si>
    <t>Z0093</t>
  </si>
  <si>
    <t>Z0094</t>
  </si>
  <si>
    <t>82</t>
  </si>
  <si>
    <t>Z0095</t>
  </si>
  <si>
    <t>Z0096</t>
  </si>
  <si>
    <t>Z0097</t>
  </si>
  <si>
    <t>Z0098</t>
  </si>
  <si>
    <t>Z0099</t>
  </si>
  <si>
    <t>Z0100</t>
  </si>
  <si>
    <t>Z0101</t>
  </si>
  <si>
    <t>Z0102</t>
  </si>
  <si>
    <t>Z0103</t>
  </si>
  <si>
    <t>Z0104</t>
  </si>
  <si>
    <t>54</t>
  </si>
  <si>
    <t>Z0105</t>
  </si>
  <si>
    <t>Z0106</t>
  </si>
  <si>
    <t>1,4</t>
  </si>
  <si>
    <t>Z0107</t>
  </si>
  <si>
    <t>Z0108</t>
  </si>
  <si>
    <t>Z0109</t>
  </si>
  <si>
    <t>Z0110</t>
  </si>
  <si>
    <t>Z0112</t>
  </si>
  <si>
    <t>80</t>
  </si>
  <si>
    <t>Z0113</t>
  </si>
  <si>
    <t>3,7</t>
  </si>
  <si>
    <t>Z0114</t>
  </si>
  <si>
    <t>Z0115</t>
  </si>
  <si>
    <t>Z0117</t>
  </si>
  <si>
    <t>Z0119</t>
  </si>
  <si>
    <t>Z0121</t>
  </si>
  <si>
    <t>Z0122</t>
  </si>
  <si>
    <t>Z0123</t>
  </si>
  <si>
    <t>Z0124</t>
  </si>
  <si>
    <t>Mariánské Lázně</t>
  </si>
  <si>
    <t>73</t>
  </si>
  <si>
    <t>Z0126</t>
  </si>
  <si>
    <t>2,1</t>
  </si>
  <si>
    <t>Z0127</t>
  </si>
  <si>
    <t>Z0128</t>
  </si>
  <si>
    <t>Z0129</t>
  </si>
  <si>
    <t>Z0131</t>
  </si>
  <si>
    <t>Z0132</t>
  </si>
  <si>
    <t>Z0133</t>
  </si>
  <si>
    <t>Z0135</t>
  </si>
  <si>
    <t>Z0136</t>
  </si>
  <si>
    <t>Z0138</t>
  </si>
  <si>
    <t>Chodov</t>
  </si>
  <si>
    <t>Z0139</t>
  </si>
  <si>
    <t>Z0140</t>
  </si>
  <si>
    <t>Z0142</t>
  </si>
  <si>
    <t>Z0143</t>
  </si>
  <si>
    <t>Z0145</t>
  </si>
  <si>
    <t>Aš</t>
  </si>
  <si>
    <t>91</t>
  </si>
  <si>
    <t>Z0146</t>
  </si>
  <si>
    <t>Z0147</t>
  </si>
  <si>
    <t>3.3</t>
  </si>
  <si>
    <t>Z0148</t>
  </si>
  <si>
    <t>Z0150</t>
  </si>
  <si>
    <t>Z0153</t>
  </si>
  <si>
    <t>Nejdek</t>
  </si>
  <si>
    <t>Z0154</t>
  </si>
  <si>
    <t>Z0155</t>
  </si>
  <si>
    <t>Z0156</t>
  </si>
  <si>
    <t>Z0157</t>
  </si>
  <si>
    <t>Z0158</t>
  </si>
  <si>
    <t>Z0160</t>
  </si>
  <si>
    <t>Z0161</t>
  </si>
  <si>
    <t>Z0162</t>
  </si>
  <si>
    <t>67</t>
  </si>
  <si>
    <t>Z0163</t>
  </si>
  <si>
    <t>Z0164</t>
  </si>
  <si>
    <t>Z0166</t>
  </si>
  <si>
    <t>3.7</t>
  </si>
  <si>
    <t>Z0167</t>
  </si>
  <si>
    <t>Z0168</t>
  </si>
  <si>
    <t>Z0169</t>
  </si>
  <si>
    <t>Horní Slavkov</t>
  </si>
  <si>
    <t>Z0170</t>
  </si>
  <si>
    <t>Z0171</t>
  </si>
  <si>
    <t>Z0172</t>
  </si>
  <si>
    <t>Z0173</t>
  </si>
  <si>
    <t>Z0174</t>
  </si>
  <si>
    <t>Z0175</t>
  </si>
  <si>
    <t>Z0176</t>
  </si>
  <si>
    <t>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</si>
</sst>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20</v>
      </c>
      <c r="H2" s="1" t="s">
        <v>21</v>
      </c>
      <c r="I2" s="1" t="s">
        <v>23</v>
      </c>
      <c r="J2" s="1" t="s">
        <v>21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21</v>
      </c>
    </row>
    <row r="3">
      <c r="A3" s="1" t="s">
        <v>30</v>
      </c>
      <c r="B3" s="1" t="s">
        <v>31</v>
      </c>
      <c r="C3" s="1" t="s">
        <v>32</v>
      </c>
      <c r="D3" s="1" t="s">
        <v>22</v>
      </c>
      <c r="E3" s="1" t="s">
        <v>21</v>
      </c>
      <c r="F3" s="1" t="s">
        <v>20</v>
      </c>
      <c r="G3" s="1" t="s">
        <v>22</v>
      </c>
      <c r="H3" s="1" t="s">
        <v>21</v>
      </c>
      <c r="I3" s="1" t="s">
        <v>33</v>
      </c>
      <c r="J3" s="1" t="s">
        <v>20</v>
      </c>
      <c r="K3" s="1" t="s">
        <v>24</v>
      </c>
      <c r="L3" s="1" t="s">
        <v>34</v>
      </c>
      <c r="M3" s="1" t="s">
        <v>35</v>
      </c>
      <c r="N3" s="1" t="s">
        <v>36</v>
      </c>
      <c r="O3" s="1" t="s">
        <v>37</v>
      </c>
      <c r="P3" s="1" t="s">
        <v>38</v>
      </c>
      <c r="Q3" s="1" t="s">
        <v>20</v>
      </c>
    </row>
    <row r="4">
      <c r="A4" s="1" t="s">
        <v>39</v>
      </c>
      <c r="B4" s="1" t="s">
        <v>40</v>
      </c>
      <c r="C4" s="1" t="s">
        <v>41</v>
      </c>
      <c r="D4" s="1" t="s">
        <v>22</v>
      </c>
      <c r="E4" s="1" t="s">
        <v>21</v>
      </c>
      <c r="F4" s="1" t="s">
        <v>42</v>
      </c>
      <c r="G4" s="1" t="s">
        <v>22</v>
      </c>
      <c r="H4" s="1" t="s">
        <v>21</v>
      </c>
      <c r="I4" s="1" t="s">
        <v>43</v>
      </c>
      <c r="J4" s="1" t="s">
        <v>42</v>
      </c>
      <c r="K4" s="1" t="s">
        <v>24</v>
      </c>
      <c r="L4" s="1" t="s">
        <v>44</v>
      </c>
      <c r="M4" s="1" t="s">
        <v>45</v>
      </c>
      <c r="N4" s="1" t="s">
        <v>46</v>
      </c>
      <c r="O4" s="1" t="s">
        <v>47</v>
      </c>
      <c r="P4" s="1" t="s">
        <v>48</v>
      </c>
      <c r="Q4" s="1" t="s">
        <v>24</v>
      </c>
    </row>
    <row r="5">
      <c r="A5" s="1" t="s">
        <v>49</v>
      </c>
      <c r="B5" s="1" t="s">
        <v>50</v>
      </c>
      <c r="C5" s="1" t="s">
        <v>51</v>
      </c>
      <c r="D5" s="1" t="s">
        <v>21</v>
      </c>
      <c r="E5" s="1" t="s">
        <v>42</v>
      </c>
      <c r="F5" s="1" t="s">
        <v>21</v>
      </c>
      <c r="G5" s="1" t="s">
        <v>20</v>
      </c>
      <c r="H5" s="1" t="s">
        <v>20</v>
      </c>
      <c r="I5" s="1" t="s">
        <v>52</v>
      </c>
      <c r="J5" s="1" t="s">
        <v>20</v>
      </c>
      <c r="K5" s="1" t="s">
        <v>24</v>
      </c>
      <c r="L5" s="1" t="s">
        <v>53</v>
      </c>
      <c r="M5" s="1" t="s">
        <v>54</v>
      </c>
      <c r="N5" s="1" t="s">
        <v>36</v>
      </c>
      <c r="O5" s="1" t="s">
        <v>55</v>
      </c>
      <c r="P5" s="1" t="s">
        <v>56</v>
      </c>
      <c r="Q5" s="1" t="s">
        <v>20</v>
      </c>
    </row>
    <row r="6">
      <c r="A6" s="1" t="s">
        <v>57</v>
      </c>
      <c r="B6" s="1" t="s">
        <v>58</v>
      </c>
      <c r="C6" s="1" t="s">
        <v>59</v>
      </c>
      <c r="D6" s="1" t="s">
        <v>24</v>
      </c>
      <c r="E6" s="1" t="s">
        <v>20</v>
      </c>
      <c r="F6" s="1" t="s">
        <v>42</v>
      </c>
      <c r="G6" s="1" t="s">
        <v>24</v>
      </c>
      <c r="H6" s="1" t="s">
        <v>22</v>
      </c>
      <c r="I6" s="1" t="s">
        <v>60</v>
      </c>
      <c r="J6" s="1" t="s">
        <v>20</v>
      </c>
      <c r="K6" s="1" t="s">
        <v>24</v>
      </c>
      <c r="L6" s="1" t="s">
        <v>61</v>
      </c>
      <c r="M6" s="1" t="s">
        <v>35</v>
      </c>
      <c r="N6" s="1" t="s">
        <v>36</v>
      </c>
      <c r="O6" s="1" t="s">
        <v>62</v>
      </c>
      <c r="P6" s="1" t="s">
        <v>63</v>
      </c>
      <c r="Q6" s="1" t="s">
        <v>21</v>
      </c>
    </row>
    <row r="7">
      <c r="A7" s="1" t="s">
        <v>64</v>
      </c>
      <c r="B7" s="1" t="s">
        <v>65</v>
      </c>
      <c r="C7" s="1" t="s">
        <v>66</v>
      </c>
      <c r="D7" s="1" t="s">
        <v>20</v>
      </c>
      <c r="E7" s="1" t="s">
        <v>20</v>
      </c>
      <c r="F7" s="1" t="s">
        <v>21</v>
      </c>
      <c r="G7" s="1" t="s">
        <v>20</v>
      </c>
      <c r="H7" s="1" t="s">
        <v>21</v>
      </c>
      <c r="I7" s="1" t="s">
        <v>67</v>
      </c>
      <c r="J7" s="1" t="s">
        <v>21</v>
      </c>
      <c r="K7" s="1" t="s">
        <v>24</v>
      </c>
      <c r="L7" s="1" t="s">
        <v>68</v>
      </c>
      <c r="M7" s="1" t="s">
        <v>35</v>
      </c>
      <c r="N7" s="1" t="s">
        <v>36</v>
      </c>
      <c r="O7" s="1" t="s">
        <v>69</v>
      </c>
      <c r="P7" s="1" t="s">
        <v>70</v>
      </c>
      <c r="Q7" s="1" t="s">
        <v>22</v>
      </c>
    </row>
    <row r="8">
      <c r="A8" s="1" t="s">
        <v>71</v>
      </c>
      <c r="B8" s="1" t="s">
        <v>72</v>
      </c>
      <c r="C8" s="1" t="s">
        <v>73</v>
      </c>
      <c r="D8" s="1" t="s">
        <v>20</v>
      </c>
      <c r="E8" s="1" t="s">
        <v>22</v>
      </c>
      <c r="F8" s="1" t="s">
        <v>24</v>
      </c>
      <c r="G8" s="1" t="s">
        <v>22</v>
      </c>
      <c r="H8" s="1" t="s">
        <v>20</v>
      </c>
      <c r="I8" s="1" t="s">
        <v>74</v>
      </c>
      <c r="J8" s="1" t="s">
        <v>20</v>
      </c>
      <c r="K8" s="1" t="s">
        <v>21</v>
      </c>
      <c r="L8" s="1" t="s">
        <v>68</v>
      </c>
      <c r="M8" s="1" t="s">
        <v>75</v>
      </c>
      <c r="N8" s="1" t="s">
        <v>76</v>
      </c>
      <c r="O8" s="1" t="s">
        <v>77</v>
      </c>
      <c r="P8" s="1" t="s">
        <v>78</v>
      </c>
      <c r="Q8" s="1" t="s">
        <v>22</v>
      </c>
    </row>
    <row r="9">
      <c r="A9" s="1" t="s">
        <v>79</v>
      </c>
      <c r="B9" s="1" t="s">
        <v>80</v>
      </c>
      <c r="C9" s="1" t="s">
        <v>81</v>
      </c>
      <c r="D9" s="1" t="s">
        <v>22</v>
      </c>
      <c r="E9" s="1" t="s">
        <v>21</v>
      </c>
      <c r="F9" s="1" t="s">
        <v>42</v>
      </c>
      <c r="G9" s="1" t="s">
        <v>21</v>
      </c>
      <c r="H9" s="1" t="s">
        <v>21</v>
      </c>
      <c r="I9" s="1" t="s">
        <v>82</v>
      </c>
      <c r="J9" s="1" t="s">
        <v>42</v>
      </c>
      <c r="K9" s="1" t="s">
        <v>24</v>
      </c>
      <c r="L9" s="1" t="s">
        <v>83</v>
      </c>
      <c r="M9" s="1" t="s">
        <v>45</v>
      </c>
      <c r="N9" s="1" t="s">
        <v>84</v>
      </c>
      <c r="O9" s="1" t="s">
        <v>85</v>
      </c>
      <c r="P9" s="1" t="s">
        <v>86</v>
      </c>
      <c r="Q9" s="1" t="s">
        <v>24</v>
      </c>
    </row>
    <row r="10">
      <c r="A10" s="1" t="s">
        <v>87</v>
      </c>
      <c r="B10" s="1" t="s">
        <v>88</v>
      </c>
      <c r="C10" s="1" t="s">
        <v>89</v>
      </c>
      <c r="D10" s="1" t="s">
        <v>22</v>
      </c>
      <c r="E10" s="1" t="s">
        <v>21</v>
      </c>
      <c r="F10" s="1" t="s">
        <v>42</v>
      </c>
      <c r="G10" s="1" t="s">
        <v>21</v>
      </c>
      <c r="H10" s="1" t="s">
        <v>21</v>
      </c>
      <c r="I10" s="1" t="s">
        <v>90</v>
      </c>
      <c r="J10" s="1" t="s">
        <v>42</v>
      </c>
      <c r="K10" s="1" t="s">
        <v>24</v>
      </c>
      <c r="L10" s="1" t="s">
        <v>91</v>
      </c>
      <c r="M10" s="1" t="s">
        <v>43</v>
      </c>
      <c r="N10" s="1" t="s">
        <v>36</v>
      </c>
      <c r="O10" s="1" t="s">
        <v>92</v>
      </c>
      <c r="P10" s="1" t="s">
        <v>93</v>
      </c>
      <c r="Q10" s="1" t="s">
        <v>24</v>
      </c>
    </row>
    <row r="11">
      <c r="A11" s="1" t="s">
        <v>94</v>
      </c>
      <c r="B11" s="1" t="s">
        <v>95</v>
      </c>
      <c r="C11" s="1" t="s">
        <v>96</v>
      </c>
      <c r="D11" s="1" t="s">
        <v>22</v>
      </c>
      <c r="E11" s="1" t="s">
        <v>21</v>
      </c>
      <c r="F11" s="1" t="s">
        <v>22</v>
      </c>
      <c r="G11" s="1" t="s">
        <v>20</v>
      </c>
      <c r="H11" s="1" t="s">
        <v>21</v>
      </c>
      <c r="I11" s="1" t="s">
        <v>97</v>
      </c>
      <c r="J11" s="1" t="s">
        <v>22</v>
      </c>
      <c r="K11" s="1" t="s">
        <v>24</v>
      </c>
      <c r="L11" s="1" t="s">
        <v>98</v>
      </c>
      <c r="M11" s="1" t="s">
        <v>99</v>
      </c>
      <c r="N11" s="1" t="s">
        <v>27</v>
      </c>
      <c r="O11" s="1" t="s">
        <v>100</v>
      </c>
      <c r="P11" s="1" t="s">
        <v>101</v>
      </c>
      <c r="Q11" s="1" t="s">
        <v>21</v>
      </c>
    </row>
    <row r="12">
      <c r="A12" s="1" t="s">
        <v>102</v>
      </c>
      <c r="B12" s="1" t="s">
        <v>103</v>
      </c>
      <c r="C12" s="1" t="s">
        <v>104</v>
      </c>
      <c r="D12" s="1" t="s">
        <v>22</v>
      </c>
      <c r="E12" s="1" t="s">
        <v>21</v>
      </c>
      <c r="F12" s="1" t="s">
        <v>22</v>
      </c>
      <c r="G12" s="1" t="s">
        <v>22</v>
      </c>
      <c r="H12" s="1" t="s">
        <v>20</v>
      </c>
      <c r="I12" s="1" t="s">
        <v>105</v>
      </c>
      <c r="J12" s="1" t="s">
        <v>42</v>
      </c>
      <c r="K12" s="1" t="s">
        <v>21</v>
      </c>
      <c r="L12" s="1" t="s">
        <v>106</v>
      </c>
      <c r="M12" s="1" t="s">
        <v>107</v>
      </c>
      <c r="N12" s="1" t="s">
        <v>108</v>
      </c>
      <c r="O12" s="1" t="s">
        <v>109</v>
      </c>
      <c r="P12" s="1" t="s">
        <v>110</v>
      </c>
      <c r="Q12" s="1" t="s">
        <v>21</v>
      </c>
    </row>
    <row r="13">
      <c r="A13" s="1" t="s">
        <v>111</v>
      </c>
      <c r="B13" s="1" t="s">
        <v>112</v>
      </c>
      <c r="C13" s="1" t="s">
        <v>113</v>
      </c>
      <c r="D13" s="1" t="s">
        <v>21</v>
      </c>
      <c r="E13" s="1" t="s">
        <v>22</v>
      </c>
      <c r="F13" s="1" t="s">
        <v>22</v>
      </c>
      <c r="G13" s="1" t="s">
        <v>21</v>
      </c>
      <c r="H13" s="1" t="s">
        <v>22</v>
      </c>
      <c r="I13" s="1" t="s">
        <v>43</v>
      </c>
      <c r="J13" s="1" t="s">
        <v>22</v>
      </c>
      <c r="K13" s="1" t="s">
        <v>24</v>
      </c>
      <c r="L13" s="1" t="s">
        <v>44</v>
      </c>
      <c r="M13" s="1" t="s">
        <v>43</v>
      </c>
      <c r="N13" s="1" t="s">
        <v>36</v>
      </c>
      <c r="O13" s="1" t="s">
        <v>114</v>
      </c>
      <c r="P13" s="1" t="s">
        <v>115</v>
      </c>
      <c r="Q13" s="1" t="s">
        <v>21</v>
      </c>
    </row>
    <row r="14">
      <c r="A14" s="1" t="s">
        <v>116</v>
      </c>
      <c r="B14" s="1" t="s">
        <v>117</v>
      </c>
      <c r="C14" s="1" t="s">
        <v>118</v>
      </c>
      <c r="D14" s="1" t="s">
        <v>21</v>
      </c>
      <c r="E14" s="1" t="s">
        <v>20</v>
      </c>
      <c r="F14" s="1" t="s">
        <v>20</v>
      </c>
      <c r="G14" s="1" t="s">
        <v>42</v>
      </c>
      <c r="H14" s="1" t="s">
        <v>42</v>
      </c>
      <c r="I14" s="1" t="s">
        <v>23</v>
      </c>
      <c r="J14" s="1" t="s">
        <v>20</v>
      </c>
      <c r="K14" s="1" t="s">
        <v>24</v>
      </c>
      <c r="L14" s="1" t="s">
        <v>68</v>
      </c>
      <c r="M14" s="1" t="s">
        <v>83</v>
      </c>
      <c r="N14" s="1" t="s">
        <v>36</v>
      </c>
      <c r="O14" s="1" t="s">
        <v>119</v>
      </c>
      <c r="P14" s="1" t="s">
        <v>29</v>
      </c>
      <c r="Q14" s="1" t="s">
        <v>22</v>
      </c>
    </row>
    <row r="15">
      <c r="A15" s="1" t="s">
        <v>120</v>
      </c>
      <c r="B15" s="1" t="s">
        <v>121</v>
      </c>
      <c r="C15" s="1" t="s">
        <v>122</v>
      </c>
      <c r="D15" s="1" t="s">
        <v>20</v>
      </c>
      <c r="E15" s="1" t="s">
        <v>20</v>
      </c>
      <c r="F15" s="1" t="s">
        <v>24</v>
      </c>
      <c r="G15" s="1" t="s">
        <v>20</v>
      </c>
      <c r="H15" s="1" t="s">
        <v>20</v>
      </c>
      <c r="I15" s="1" t="s">
        <v>123</v>
      </c>
      <c r="J15" s="1" t="s">
        <v>21</v>
      </c>
      <c r="K15" s="1" t="s">
        <v>20</v>
      </c>
      <c r="L15" s="1" t="s">
        <v>124</v>
      </c>
      <c r="M15" s="1" t="s">
        <v>125</v>
      </c>
      <c r="N15" s="1" t="s">
        <v>126</v>
      </c>
      <c r="O15" s="1" t="s">
        <v>127</v>
      </c>
      <c r="P15" s="1" t="s">
        <v>128</v>
      </c>
      <c r="Q15" s="1" t="s">
        <v>42</v>
      </c>
    </row>
    <row r="16">
      <c r="A16" s="1" t="s">
        <v>129</v>
      </c>
      <c r="B16" s="1" t="s">
        <v>130</v>
      </c>
      <c r="C16" s="1" t="s">
        <v>131</v>
      </c>
      <c r="D16" s="1" t="s">
        <v>20</v>
      </c>
      <c r="E16" s="1" t="s">
        <v>20</v>
      </c>
      <c r="F16" s="1" t="s">
        <v>24</v>
      </c>
      <c r="G16" s="1" t="s">
        <v>20</v>
      </c>
      <c r="H16" s="1" t="s">
        <v>20</v>
      </c>
      <c r="I16" s="1" t="s">
        <v>132</v>
      </c>
      <c r="J16" s="1" t="s">
        <v>21</v>
      </c>
      <c r="K16" s="1" t="s">
        <v>24</v>
      </c>
      <c r="L16" s="1" t="s">
        <v>133</v>
      </c>
      <c r="M16" s="1" t="s">
        <v>45</v>
      </c>
      <c r="N16" s="1" t="s">
        <v>46</v>
      </c>
      <c r="O16" s="1" t="s">
        <v>134</v>
      </c>
      <c r="P16" s="1" t="s">
        <v>135</v>
      </c>
      <c r="Q16" s="1" t="s">
        <v>42</v>
      </c>
    </row>
    <row r="17">
      <c r="A17" s="1" t="s">
        <v>136</v>
      </c>
      <c r="B17" s="1" t="s">
        <v>137</v>
      </c>
      <c r="C17" s="1" t="s">
        <v>138</v>
      </c>
      <c r="D17" s="1" t="s">
        <v>20</v>
      </c>
      <c r="E17" s="1" t="s">
        <v>20</v>
      </c>
      <c r="F17" s="1" t="s">
        <v>24</v>
      </c>
      <c r="G17" s="1" t="s">
        <v>42</v>
      </c>
      <c r="H17" s="1" t="s">
        <v>20</v>
      </c>
      <c r="I17" s="1" t="s">
        <v>139</v>
      </c>
      <c r="J17" s="1" t="s">
        <v>20</v>
      </c>
      <c r="K17" s="1" t="s">
        <v>24</v>
      </c>
      <c r="L17" s="1" t="s">
        <v>98</v>
      </c>
      <c r="M17" s="1" t="s">
        <v>43</v>
      </c>
      <c r="N17" s="1" t="s">
        <v>84</v>
      </c>
      <c r="O17" s="1" t="s">
        <v>140</v>
      </c>
      <c r="P17" s="1" t="s">
        <v>141</v>
      </c>
      <c r="Q17" s="1" t="s">
        <v>20</v>
      </c>
    </row>
    <row r="18">
      <c r="A18" s="1" t="s">
        <v>142</v>
      </c>
      <c r="B18" s="1" t="s">
        <v>143</v>
      </c>
      <c r="C18" s="1" t="s">
        <v>144</v>
      </c>
      <c r="D18" s="1" t="s">
        <v>42</v>
      </c>
      <c r="E18" s="1" t="s">
        <v>21</v>
      </c>
      <c r="F18" s="1" t="s">
        <v>24</v>
      </c>
      <c r="G18" s="1" t="s">
        <v>42</v>
      </c>
      <c r="H18" s="1" t="s">
        <v>22</v>
      </c>
      <c r="I18" s="1" t="s">
        <v>139</v>
      </c>
      <c r="J18" s="1" t="s">
        <v>42</v>
      </c>
      <c r="K18" s="1" t="s">
        <v>20</v>
      </c>
      <c r="L18" s="1" t="s">
        <v>145</v>
      </c>
      <c r="M18" s="1" t="s">
        <v>146</v>
      </c>
      <c r="N18" s="1" t="s">
        <v>147</v>
      </c>
      <c r="O18" s="1" t="s">
        <v>148</v>
      </c>
      <c r="P18" s="1" t="s">
        <v>149</v>
      </c>
      <c r="Q18" s="1" t="s">
        <v>20</v>
      </c>
    </row>
    <row r="19">
      <c r="A19" s="1" t="s">
        <v>150</v>
      </c>
      <c r="B19" s="1" t="s">
        <v>151</v>
      </c>
      <c r="C19" s="1" t="s">
        <v>152</v>
      </c>
      <c r="D19" s="1" t="s">
        <v>20</v>
      </c>
      <c r="E19" s="1" t="s">
        <v>21</v>
      </c>
      <c r="F19" s="1" t="s">
        <v>42</v>
      </c>
      <c r="G19" s="1" t="s">
        <v>21</v>
      </c>
      <c r="H19" s="1" t="s">
        <v>21</v>
      </c>
      <c r="I19" s="1" t="s">
        <v>90</v>
      </c>
      <c r="J19" s="1" t="s">
        <v>42</v>
      </c>
      <c r="K19" s="1" t="s">
        <v>24</v>
      </c>
      <c r="L19" s="1" t="s">
        <v>42</v>
      </c>
      <c r="M19" s="1" t="s">
        <v>153</v>
      </c>
      <c r="N19" s="1" t="s">
        <v>27</v>
      </c>
      <c r="O19" s="1" t="s">
        <v>154</v>
      </c>
      <c r="P19" s="1" t="s">
        <v>155</v>
      </c>
      <c r="Q19" s="1" t="s">
        <v>24</v>
      </c>
    </row>
    <row r="20">
      <c r="A20" s="1" t="s">
        <v>156</v>
      </c>
      <c r="B20" s="1" t="s">
        <v>157</v>
      </c>
      <c r="C20" s="1" t="s">
        <v>158</v>
      </c>
      <c r="D20" s="1" t="s">
        <v>24</v>
      </c>
      <c r="E20" s="1" t="s">
        <v>42</v>
      </c>
      <c r="F20" s="1" t="s">
        <v>42</v>
      </c>
      <c r="G20" s="1" t="s">
        <v>24</v>
      </c>
      <c r="H20" s="1" t="s">
        <v>22</v>
      </c>
      <c r="I20" s="1" t="s">
        <v>60</v>
      </c>
      <c r="J20" s="1" t="s">
        <v>42</v>
      </c>
      <c r="K20" s="1" t="s">
        <v>21</v>
      </c>
      <c r="L20" s="1" t="s">
        <v>159</v>
      </c>
      <c r="M20" s="1" t="s">
        <v>160</v>
      </c>
      <c r="N20" s="1" t="s">
        <v>76</v>
      </c>
      <c r="O20" s="1" t="s">
        <v>161</v>
      </c>
      <c r="P20" s="1" t="s">
        <v>162</v>
      </c>
      <c r="Q20" s="1" t="s">
        <v>21</v>
      </c>
    </row>
    <row r="21">
      <c r="A21" s="1" t="s">
        <v>163</v>
      </c>
      <c r="B21" s="1" t="s">
        <v>164</v>
      </c>
      <c r="C21" s="1" t="s">
        <v>165</v>
      </c>
      <c r="D21" s="1" t="s">
        <v>24</v>
      </c>
      <c r="E21" s="1" t="s">
        <v>42</v>
      </c>
      <c r="F21" s="1" t="s">
        <v>42</v>
      </c>
      <c r="G21" s="1" t="s">
        <v>21</v>
      </c>
      <c r="H21" s="1" t="s">
        <v>22</v>
      </c>
      <c r="I21" s="1" t="s">
        <v>82</v>
      </c>
      <c r="J21" s="1" t="s">
        <v>20</v>
      </c>
      <c r="K21" s="1" t="s">
        <v>24</v>
      </c>
      <c r="L21" s="1" t="s">
        <v>98</v>
      </c>
      <c r="M21" s="1" t="s">
        <v>166</v>
      </c>
      <c r="N21" s="1" t="s">
        <v>84</v>
      </c>
      <c r="O21" s="1" t="s">
        <v>167</v>
      </c>
      <c r="P21" s="1" t="s">
        <v>168</v>
      </c>
      <c r="Q21" s="1" t="s">
        <v>21</v>
      </c>
    </row>
    <row r="22">
      <c r="A22" s="1" t="s">
        <v>169</v>
      </c>
      <c r="B22" s="1" t="s">
        <v>170</v>
      </c>
      <c r="C22" s="1" t="s">
        <v>171</v>
      </c>
      <c r="D22" s="1" t="s">
        <v>24</v>
      </c>
      <c r="E22" s="1" t="s">
        <v>22</v>
      </c>
      <c r="F22" s="1" t="s">
        <v>42</v>
      </c>
      <c r="G22" s="1" t="s">
        <v>24</v>
      </c>
      <c r="H22" s="1" t="s">
        <v>20</v>
      </c>
      <c r="I22" s="1" t="s">
        <v>35</v>
      </c>
      <c r="J22" s="1" t="s">
        <v>42</v>
      </c>
      <c r="K22" s="1" t="s">
        <v>20</v>
      </c>
      <c r="L22" s="1" t="s">
        <v>172</v>
      </c>
      <c r="M22" s="1" t="s">
        <v>173</v>
      </c>
      <c r="N22" s="1" t="s">
        <v>174</v>
      </c>
      <c r="O22" s="1" t="s">
        <v>175</v>
      </c>
      <c r="P22" s="1" t="s">
        <v>176</v>
      </c>
      <c r="Q22" s="1" t="s">
        <v>21</v>
      </c>
    </row>
    <row r="23">
      <c r="A23" s="1" t="s">
        <v>177</v>
      </c>
      <c r="B23" s="1" t="s">
        <v>178</v>
      </c>
      <c r="C23" s="1" t="s">
        <v>179</v>
      </c>
      <c r="D23" s="1" t="s">
        <v>22</v>
      </c>
      <c r="E23" s="1" t="s">
        <v>20</v>
      </c>
      <c r="F23" s="1" t="s">
        <v>20</v>
      </c>
      <c r="G23" s="1" t="s">
        <v>22</v>
      </c>
      <c r="H23" s="1" t="s">
        <v>21</v>
      </c>
      <c r="I23" s="1" t="s">
        <v>139</v>
      </c>
      <c r="J23" s="1" t="s">
        <v>20</v>
      </c>
      <c r="K23" s="1" t="s">
        <v>24</v>
      </c>
      <c r="L23" s="1" t="s">
        <v>44</v>
      </c>
      <c r="M23" s="1" t="s">
        <v>97</v>
      </c>
      <c r="N23" s="1" t="s">
        <v>36</v>
      </c>
      <c r="O23" s="1" t="s">
        <v>180</v>
      </c>
      <c r="P23" s="1" t="s">
        <v>181</v>
      </c>
      <c r="Q23" s="1" t="s">
        <v>20</v>
      </c>
    </row>
    <row r="24">
      <c r="A24" s="1" t="s">
        <v>182</v>
      </c>
      <c r="B24" s="1" t="s">
        <v>183</v>
      </c>
      <c r="C24" s="1" t="s">
        <v>184</v>
      </c>
      <c r="D24" s="1" t="s">
        <v>20</v>
      </c>
      <c r="E24" s="1" t="s">
        <v>21</v>
      </c>
      <c r="F24" s="1" t="s">
        <v>22</v>
      </c>
      <c r="G24" s="1" t="s">
        <v>20</v>
      </c>
      <c r="H24" s="1" t="s">
        <v>21</v>
      </c>
      <c r="I24" s="1" t="s">
        <v>23</v>
      </c>
      <c r="J24" s="1" t="s">
        <v>21</v>
      </c>
      <c r="K24" s="1" t="s">
        <v>24</v>
      </c>
      <c r="L24" s="1" t="s">
        <v>61</v>
      </c>
      <c r="M24" s="1" t="s">
        <v>45</v>
      </c>
      <c r="N24" s="1" t="s">
        <v>185</v>
      </c>
      <c r="O24" s="1" t="s">
        <v>186</v>
      </c>
      <c r="P24" s="1" t="s">
        <v>187</v>
      </c>
      <c r="Q24" s="1" t="s">
        <v>21</v>
      </c>
    </row>
    <row r="25">
      <c r="A25" s="1" t="s">
        <v>188</v>
      </c>
      <c r="B25" s="1" t="s">
        <v>189</v>
      </c>
      <c r="C25" s="1" t="s">
        <v>190</v>
      </c>
      <c r="D25" s="1" t="s">
        <v>20</v>
      </c>
      <c r="E25" s="1" t="s">
        <v>24</v>
      </c>
      <c r="F25" s="1" t="s">
        <v>42</v>
      </c>
      <c r="G25" s="1" t="s">
        <v>21</v>
      </c>
      <c r="H25" s="1" t="s">
        <v>24</v>
      </c>
      <c r="I25" s="1" t="s">
        <v>90</v>
      </c>
      <c r="J25" s="1" t="s">
        <v>20</v>
      </c>
      <c r="K25" s="1" t="s">
        <v>24</v>
      </c>
      <c r="L25" s="1" t="s">
        <v>98</v>
      </c>
      <c r="M25" s="1" t="s">
        <v>26</v>
      </c>
      <c r="N25" s="1" t="s">
        <v>185</v>
      </c>
      <c r="O25" s="1" t="s">
        <v>191</v>
      </c>
      <c r="P25" s="1" t="s">
        <v>192</v>
      </c>
      <c r="Q25" s="1" t="s">
        <v>24</v>
      </c>
    </row>
    <row r="26">
      <c r="A26" s="1" t="s">
        <v>193</v>
      </c>
      <c r="B26" s="1" t="s">
        <v>194</v>
      </c>
      <c r="C26" s="1" t="s">
        <v>195</v>
      </c>
      <c r="D26" s="1" t="s">
        <v>21</v>
      </c>
      <c r="E26" s="1" t="s">
        <v>42</v>
      </c>
      <c r="F26" s="1" t="s">
        <v>42</v>
      </c>
      <c r="G26" s="1" t="s">
        <v>21</v>
      </c>
      <c r="H26" s="1" t="s">
        <v>21</v>
      </c>
      <c r="I26" s="1" t="s">
        <v>196</v>
      </c>
      <c r="J26" s="1" t="s">
        <v>20</v>
      </c>
      <c r="K26" s="1" t="s">
        <v>24</v>
      </c>
      <c r="L26" s="1" t="s">
        <v>90</v>
      </c>
      <c r="M26" s="1" t="s">
        <v>44</v>
      </c>
      <c r="N26" s="1" t="s">
        <v>36</v>
      </c>
      <c r="O26" s="1" t="s">
        <v>197</v>
      </c>
      <c r="P26" s="1" t="s">
        <v>168</v>
      </c>
      <c r="Q26" s="1" t="s">
        <v>20</v>
      </c>
    </row>
    <row r="27">
      <c r="A27" s="1" t="s">
        <v>198</v>
      </c>
      <c r="B27" s="1" t="s">
        <v>199</v>
      </c>
      <c r="C27" s="1" t="s">
        <v>200</v>
      </c>
      <c r="D27" s="1" t="s">
        <v>20</v>
      </c>
      <c r="E27" s="1" t="s">
        <v>21</v>
      </c>
      <c r="F27" s="1" t="s">
        <v>42</v>
      </c>
      <c r="G27" s="1" t="s">
        <v>20</v>
      </c>
      <c r="H27" s="1" t="s">
        <v>21</v>
      </c>
      <c r="I27" s="1" t="s">
        <v>44</v>
      </c>
      <c r="J27" s="1" t="s">
        <v>42</v>
      </c>
      <c r="K27" s="1" t="s">
        <v>21</v>
      </c>
      <c r="L27" s="1" t="s">
        <v>201</v>
      </c>
      <c r="M27" s="1" t="s">
        <v>74</v>
      </c>
      <c r="N27" s="1" t="s">
        <v>76</v>
      </c>
      <c r="O27" s="1" t="s">
        <v>154</v>
      </c>
      <c r="P27" s="1" t="s">
        <v>202</v>
      </c>
      <c r="Q27" s="1" t="s">
        <v>24</v>
      </c>
    </row>
    <row r="28">
      <c r="A28" s="1" t="s">
        <v>203</v>
      </c>
      <c r="B28" s="1" t="s">
        <v>204</v>
      </c>
      <c r="C28" s="1" t="s">
        <v>205</v>
      </c>
      <c r="D28" s="1" t="s">
        <v>22</v>
      </c>
      <c r="E28" s="1" t="s">
        <v>24</v>
      </c>
      <c r="F28" s="1" t="s">
        <v>42</v>
      </c>
      <c r="G28" s="1" t="s">
        <v>20</v>
      </c>
      <c r="H28" s="1" t="s">
        <v>21</v>
      </c>
      <c r="I28" s="1" t="s">
        <v>97</v>
      </c>
      <c r="J28" s="1" t="s">
        <v>42</v>
      </c>
      <c r="K28" s="1" t="s">
        <v>24</v>
      </c>
      <c r="L28" s="1" t="s">
        <v>206</v>
      </c>
      <c r="M28" s="1" t="s">
        <v>60</v>
      </c>
      <c r="N28" s="1" t="s">
        <v>207</v>
      </c>
      <c r="O28" s="1" t="s">
        <v>208</v>
      </c>
      <c r="P28" s="1" t="s">
        <v>209</v>
      </c>
      <c r="Q28" s="1" t="s">
        <v>24</v>
      </c>
    </row>
    <row r="29">
      <c r="A29" s="1" t="s">
        <v>210</v>
      </c>
      <c r="B29" s="1" t="s">
        <v>211</v>
      </c>
      <c r="C29" s="1" t="s">
        <v>212</v>
      </c>
      <c r="D29" s="1" t="s">
        <v>20</v>
      </c>
      <c r="E29" s="1" t="s">
        <v>42</v>
      </c>
      <c r="F29" s="1" t="s">
        <v>20</v>
      </c>
      <c r="G29" s="1" t="s">
        <v>20</v>
      </c>
      <c r="H29" s="1" t="s">
        <v>21</v>
      </c>
      <c r="I29" s="1" t="s">
        <v>213</v>
      </c>
      <c r="J29" s="1" t="s">
        <v>20</v>
      </c>
      <c r="K29" s="1" t="s">
        <v>24</v>
      </c>
      <c r="L29" s="1" t="s">
        <v>206</v>
      </c>
      <c r="M29" s="1" t="s">
        <v>90</v>
      </c>
      <c r="N29" s="1" t="s">
        <v>36</v>
      </c>
      <c r="O29" s="1" t="s">
        <v>197</v>
      </c>
      <c r="P29" s="1" t="s">
        <v>214</v>
      </c>
      <c r="Q29" s="1" t="s">
        <v>20</v>
      </c>
    </row>
    <row r="30">
      <c r="A30" s="1" t="s">
        <v>215</v>
      </c>
      <c r="B30" s="1" t="s">
        <v>216</v>
      </c>
      <c r="C30" s="1" t="s">
        <v>217</v>
      </c>
      <c r="D30" s="1" t="s">
        <v>20</v>
      </c>
      <c r="E30" s="1" t="s">
        <v>24</v>
      </c>
      <c r="F30" s="1" t="s">
        <v>42</v>
      </c>
      <c r="G30" s="1" t="s">
        <v>21</v>
      </c>
      <c r="H30" s="1" t="s">
        <v>21</v>
      </c>
      <c r="I30" s="1" t="s">
        <v>90</v>
      </c>
      <c r="J30" s="1" t="s">
        <v>42</v>
      </c>
      <c r="K30" s="1" t="s">
        <v>24</v>
      </c>
      <c r="L30" s="1" t="s">
        <v>35</v>
      </c>
      <c r="M30" s="1" t="s">
        <v>82</v>
      </c>
      <c r="N30" s="1" t="s">
        <v>46</v>
      </c>
      <c r="O30" s="1" t="s">
        <v>218</v>
      </c>
      <c r="P30" s="1" t="s">
        <v>219</v>
      </c>
      <c r="Q30" s="1" t="s">
        <v>24</v>
      </c>
    </row>
    <row r="31">
      <c r="A31" s="1" t="s">
        <v>220</v>
      </c>
      <c r="B31" s="1" t="s">
        <v>221</v>
      </c>
      <c r="C31" s="1" t="s">
        <v>222</v>
      </c>
      <c r="D31" s="1" t="s">
        <v>20</v>
      </c>
      <c r="E31" s="1" t="s">
        <v>22</v>
      </c>
      <c r="F31" s="1" t="s">
        <v>24</v>
      </c>
      <c r="G31" s="1" t="s">
        <v>22</v>
      </c>
      <c r="H31" s="1" t="s">
        <v>21</v>
      </c>
      <c r="I31" s="1" t="s">
        <v>107</v>
      </c>
      <c r="J31" s="1" t="s">
        <v>20</v>
      </c>
      <c r="K31" s="1" t="s">
        <v>24</v>
      </c>
      <c r="L31" s="1" t="s">
        <v>166</v>
      </c>
      <c r="M31" s="1" t="s">
        <v>45</v>
      </c>
      <c r="N31" s="1" t="s">
        <v>36</v>
      </c>
      <c r="O31" s="1" t="s">
        <v>223</v>
      </c>
      <c r="P31" s="1" t="s">
        <v>224</v>
      </c>
      <c r="Q31" s="1" t="s">
        <v>22</v>
      </c>
    </row>
    <row r="32">
      <c r="A32" s="1" t="s">
        <v>225</v>
      </c>
      <c r="B32" s="1" t="s">
        <v>226</v>
      </c>
      <c r="C32" s="1" t="s">
        <v>227</v>
      </c>
      <c r="D32" s="1" t="s">
        <v>20</v>
      </c>
      <c r="E32" s="1" t="s">
        <v>24</v>
      </c>
      <c r="F32" s="1" t="s">
        <v>42</v>
      </c>
      <c r="G32" s="1" t="s">
        <v>21</v>
      </c>
      <c r="H32" s="1" t="s">
        <v>21</v>
      </c>
      <c r="I32" s="1" t="s">
        <v>90</v>
      </c>
      <c r="J32" s="1" t="s">
        <v>42</v>
      </c>
      <c r="K32" s="1" t="s">
        <v>24</v>
      </c>
      <c r="L32" s="1" t="s">
        <v>60</v>
      </c>
      <c r="M32" s="1" t="s">
        <v>26</v>
      </c>
      <c r="N32" s="1" t="s">
        <v>84</v>
      </c>
      <c r="O32" s="1" t="s">
        <v>228</v>
      </c>
      <c r="P32" s="1" t="s">
        <v>229</v>
      </c>
      <c r="Q32" s="1" t="s">
        <v>24</v>
      </c>
    </row>
    <row r="33">
      <c r="A33" s="1" t="s">
        <v>230</v>
      </c>
      <c r="B33" s="1" t="s">
        <v>231</v>
      </c>
      <c r="C33" s="1" t="s">
        <v>232</v>
      </c>
      <c r="D33" s="1" t="s">
        <v>21</v>
      </c>
      <c r="E33" s="1" t="s">
        <v>21</v>
      </c>
      <c r="F33" s="1" t="s">
        <v>22</v>
      </c>
      <c r="G33" s="1" t="s">
        <v>20</v>
      </c>
      <c r="H33" s="1" t="s">
        <v>24</v>
      </c>
      <c r="I33" s="1" t="s">
        <v>82</v>
      </c>
      <c r="J33" s="1" t="s">
        <v>22</v>
      </c>
      <c r="K33" s="1" t="s">
        <v>24</v>
      </c>
      <c r="L33" s="1" t="s">
        <v>61</v>
      </c>
      <c r="M33" s="1" t="s">
        <v>233</v>
      </c>
      <c r="N33" s="1" t="s">
        <v>234</v>
      </c>
      <c r="O33" s="1" t="s">
        <v>235</v>
      </c>
      <c r="P33" s="1" t="s">
        <v>176</v>
      </c>
      <c r="Q33" s="1" t="s">
        <v>21</v>
      </c>
    </row>
    <row r="34">
      <c r="A34" s="1" t="s">
        <v>236</v>
      </c>
      <c r="B34" s="1" t="s">
        <v>237</v>
      </c>
      <c r="C34" s="1" t="s">
        <v>238</v>
      </c>
      <c r="D34" s="1" t="s">
        <v>20</v>
      </c>
      <c r="E34" s="1" t="s">
        <v>24</v>
      </c>
      <c r="F34" s="1" t="s">
        <v>42</v>
      </c>
      <c r="G34" s="1" t="s">
        <v>21</v>
      </c>
      <c r="H34" s="1" t="s">
        <v>21</v>
      </c>
      <c r="I34" s="1" t="s">
        <v>82</v>
      </c>
      <c r="J34" s="1" t="s">
        <v>20</v>
      </c>
      <c r="K34" s="1" t="s">
        <v>24</v>
      </c>
      <c r="L34" s="1" t="s">
        <v>61</v>
      </c>
      <c r="M34" s="1" t="s">
        <v>239</v>
      </c>
      <c r="N34" s="1" t="s">
        <v>27</v>
      </c>
      <c r="O34" s="1" t="s">
        <v>240</v>
      </c>
      <c r="P34" s="1" t="s">
        <v>241</v>
      </c>
      <c r="Q34" s="1" t="s">
        <v>24</v>
      </c>
    </row>
    <row r="35">
      <c r="A35" s="1" t="s">
        <v>242</v>
      </c>
      <c r="B35" s="1" t="s">
        <v>243</v>
      </c>
      <c r="C35" s="1" t="s">
        <v>244</v>
      </c>
      <c r="D35" s="1" t="s">
        <v>21</v>
      </c>
      <c r="E35" s="1" t="s">
        <v>42</v>
      </c>
      <c r="F35" s="1" t="s">
        <v>22</v>
      </c>
      <c r="G35" s="1" t="s">
        <v>21</v>
      </c>
      <c r="H35" s="1" t="s">
        <v>21</v>
      </c>
      <c r="I35" s="1" t="s">
        <v>196</v>
      </c>
      <c r="J35" s="1" t="s">
        <v>42</v>
      </c>
      <c r="K35" s="1" t="s">
        <v>24</v>
      </c>
      <c r="L35" s="1" t="s">
        <v>68</v>
      </c>
      <c r="M35" s="1" t="s">
        <v>133</v>
      </c>
      <c r="N35" s="1" t="s">
        <v>27</v>
      </c>
      <c r="O35" s="1" t="s">
        <v>119</v>
      </c>
      <c r="P35" s="1" t="s">
        <v>245</v>
      </c>
      <c r="Q35" s="1" t="s">
        <v>21</v>
      </c>
    </row>
    <row r="36">
      <c r="A36" s="1" t="s">
        <v>246</v>
      </c>
      <c r="B36" s="1" t="s">
        <v>247</v>
      </c>
      <c r="C36" s="1" t="s">
        <v>248</v>
      </c>
      <c r="D36" s="1" t="s">
        <v>21</v>
      </c>
      <c r="E36" s="1" t="s">
        <v>22</v>
      </c>
      <c r="F36" s="1" t="s">
        <v>21</v>
      </c>
      <c r="G36" s="1" t="s">
        <v>20</v>
      </c>
      <c r="H36" s="1" t="s">
        <v>22</v>
      </c>
      <c r="I36" s="1" t="s">
        <v>249</v>
      </c>
      <c r="J36" s="1" t="s">
        <v>20</v>
      </c>
      <c r="K36" s="1" t="s">
        <v>24</v>
      </c>
      <c r="L36" s="1" t="s">
        <v>43</v>
      </c>
      <c r="M36" s="1" t="s">
        <v>250</v>
      </c>
      <c r="N36" s="1" t="s">
        <v>36</v>
      </c>
      <c r="O36" s="1" t="s">
        <v>251</v>
      </c>
      <c r="P36" s="1" t="s">
        <v>252</v>
      </c>
      <c r="Q36" s="1" t="s">
        <v>22</v>
      </c>
    </row>
    <row r="37">
      <c r="A37" s="1" t="s">
        <v>253</v>
      </c>
      <c r="B37" s="1" t="s">
        <v>254</v>
      </c>
      <c r="C37" s="1" t="s">
        <v>255</v>
      </c>
      <c r="D37" s="1" t="s">
        <v>20</v>
      </c>
      <c r="E37" s="1" t="s">
        <v>42</v>
      </c>
      <c r="F37" s="1" t="s">
        <v>22</v>
      </c>
      <c r="G37" s="1" t="s">
        <v>21</v>
      </c>
      <c r="H37" s="1" t="s">
        <v>21</v>
      </c>
      <c r="I37" s="1" t="s">
        <v>52</v>
      </c>
      <c r="J37" s="1" t="s">
        <v>42</v>
      </c>
      <c r="K37" s="1" t="s">
        <v>24</v>
      </c>
      <c r="L37" s="1" t="s">
        <v>213</v>
      </c>
      <c r="M37" s="1" t="s">
        <v>52</v>
      </c>
      <c r="N37" s="1" t="s">
        <v>36</v>
      </c>
      <c r="O37" s="1" t="s">
        <v>256</v>
      </c>
      <c r="P37" s="1" t="s">
        <v>257</v>
      </c>
      <c r="Q37" s="1" t="s">
        <v>21</v>
      </c>
    </row>
    <row r="38">
      <c r="A38" s="1" t="s">
        <v>258</v>
      </c>
      <c r="B38" s="1" t="s">
        <v>259</v>
      </c>
      <c r="C38" s="1" t="s">
        <v>260</v>
      </c>
      <c r="D38" s="1" t="s">
        <v>20</v>
      </c>
      <c r="E38" s="1" t="s">
        <v>20</v>
      </c>
      <c r="F38" s="1" t="s">
        <v>21</v>
      </c>
      <c r="G38" s="1" t="s">
        <v>22</v>
      </c>
      <c r="H38" s="1" t="s">
        <v>21</v>
      </c>
      <c r="I38" s="1" t="s">
        <v>139</v>
      </c>
      <c r="J38" s="1" t="s">
        <v>22</v>
      </c>
      <c r="K38" s="1" t="s">
        <v>24</v>
      </c>
      <c r="L38" s="1" t="s">
        <v>261</v>
      </c>
      <c r="M38" s="1" t="s">
        <v>45</v>
      </c>
      <c r="N38" s="1" t="s">
        <v>234</v>
      </c>
      <c r="O38" s="1" t="s">
        <v>154</v>
      </c>
      <c r="P38" s="1" t="s">
        <v>262</v>
      </c>
      <c r="Q38" s="1" t="s">
        <v>20</v>
      </c>
    </row>
    <row r="39">
      <c r="A39" s="1" t="s">
        <v>263</v>
      </c>
      <c r="B39" s="1" t="s">
        <v>264</v>
      </c>
      <c r="C39" s="1" t="s">
        <v>265</v>
      </c>
      <c r="D39" s="1" t="s">
        <v>21</v>
      </c>
      <c r="E39" s="1" t="s">
        <v>42</v>
      </c>
      <c r="F39" s="1" t="s">
        <v>20</v>
      </c>
      <c r="G39" s="1" t="s">
        <v>21</v>
      </c>
      <c r="H39" s="1" t="s">
        <v>22</v>
      </c>
      <c r="I39" s="1" t="s">
        <v>74</v>
      </c>
      <c r="J39" s="1" t="s">
        <v>22</v>
      </c>
      <c r="K39" s="1" t="s">
        <v>24</v>
      </c>
      <c r="L39" s="1" t="s">
        <v>266</v>
      </c>
      <c r="M39" s="1" t="s">
        <v>267</v>
      </c>
      <c r="N39" s="1" t="s">
        <v>36</v>
      </c>
      <c r="O39" s="1" t="s">
        <v>268</v>
      </c>
      <c r="P39" s="1" t="s">
        <v>269</v>
      </c>
      <c r="Q39" s="1" t="s">
        <v>21</v>
      </c>
    </row>
    <row r="40">
      <c r="A40" s="1" t="s">
        <v>270</v>
      </c>
      <c r="B40" s="1" t="s">
        <v>271</v>
      </c>
      <c r="C40" s="1" t="s">
        <v>272</v>
      </c>
      <c r="D40" s="1" t="s">
        <v>21</v>
      </c>
      <c r="E40" s="1" t="s">
        <v>24</v>
      </c>
      <c r="F40" s="1" t="s">
        <v>42</v>
      </c>
      <c r="G40" s="1" t="s">
        <v>24</v>
      </c>
      <c r="H40" s="1" t="s">
        <v>22</v>
      </c>
      <c r="I40" s="1" t="s">
        <v>35</v>
      </c>
      <c r="J40" s="1" t="s">
        <v>22</v>
      </c>
      <c r="K40" s="1" t="s">
        <v>24</v>
      </c>
      <c r="L40" s="1" t="s">
        <v>206</v>
      </c>
      <c r="M40" s="1" t="s">
        <v>273</v>
      </c>
      <c r="N40" s="1" t="s">
        <v>36</v>
      </c>
      <c r="O40" s="1" t="s">
        <v>274</v>
      </c>
      <c r="P40" s="1" t="s">
        <v>275</v>
      </c>
      <c r="Q40" s="1" t="s">
        <v>24</v>
      </c>
    </row>
    <row r="41">
      <c r="A41" s="1" t="s">
        <v>276</v>
      </c>
      <c r="B41" s="1" t="s">
        <v>277</v>
      </c>
      <c r="C41" s="1" t="s">
        <v>278</v>
      </c>
      <c r="D41" s="1" t="s">
        <v>21</v>
      </c>
      <c r="E41" s="1" t="s">
        <v>42</v>
      </c>
      <c r="F41" s="1" t="s">
        <v>21</v>
      </c>
      <c r="G41" s="1" t="s">
        <v>20</v>
      </c>
      <c r="H41" s="1" t="s">
        <v>20</v>
      </c>
      <c r="I41" s="1" t="s">
        <v>139</v>
      </c>
      <c r="J41" s="1" t="s">
        <v>20</v>
      </c>
      <c r="K41" s="1" t="s">
        <v>24</v>
      </c>
      <c r="L41" s="1" t="s">
        <v>98</v>
      </c>
      <c r="M41" s="1" t="s">
        <v>35</v>
      </c>
      <c r="N41" s="1" t="s">
        <v>27</v>
      </c>
      <c r="O41" s="1" t="s">
        <v>197</v>
      </c>
      <c r="P41" s="1" t="s">
        <v>29</v>
      </c>
      <c r="Q41" s="1" t="s">
        <v>20</v>
      </c>
    </row>
    <row r="42">
      <c r="A42" s="1" t="s">
        <v>279</v>
      </c>
      <c r="B42" s="1" t="s">
        <v>280</v>
      </c>
      <c r="C42" s="1" t="s">
        <v>281</v>
      </c>
      <c r="D42" s="1" t="s">
        <v>20</v>
      </c>
      <c r="E42" s="1" t="s">
        <v>20</v>
      </c>
      <c r="F42" s="1" t="s">
        <v>42</v>
      </c>
      <c r="G42" s="1" t="s">
        <v>20</v>
      </c>
      <c r="H42" s="1" t="s">
        <v>20</v>
      </c>
      <c r="I42" s="1" t="s">
        <v>196</v>
      </c>
      <c r="J42" s="1" t="s">
        <v>42</v>
      </c>
      <c r="K42" s="1" t="s">
        <v>24</v>
      </c>
      <c r="L42" s="1" t="s">
        <v>90</v>
      </c>
      <c r="M42" s="1" t="s">
        <v>99</v>
      </c>
      <c r="N42" s="1" t="s">
        <v>36</v>
      </c>
      <c r="O42" s="1" t="s">
        <v>282</v>
      </c>
      <c r="P42" s="1" t="s">
        <v>283</v>
      </c>
      <c r="Q42" s="1" t="s">
        <v>21</v>
      </c>
    </row>
    <row r="43">
      <c r="A43" s="1" t="s">
        <v>284</v>
      </c>
      <c r="B43" s="1" t="s">
        <v>285</v>
      </c>
      <c r="C43" s="1" t="s">
        <v>286</v>
      </c>
      <c r="D43" s="1" t="s">
        <v>20</v>
      </c>
      <c r="E43" s="1" t="s">
        <v>21</v>
      </c>
      <c r="F43" s="1" t="s">
        <v>42</v>
      </c>
      <c r="G43" s="1" t="s">
        <v>21</v>
      </c>
      <c r="H43" s="1" t="s">
        <v>21</v>
      </c>
      <c r="I43" s="1" t="s">
        <v>82</v>
      </c>
      <c r="J43" s="1" t="s">
        <v>42</v>
      </c>
      <c r="K43" s="1" t="s">
        <v>20</v>
      </c>
      <c r="L43" s="1" t="s">
        <v>44</v>
      </c>
      <c r="M43" s="1" t="s">
        <v>266</v>
      </c>
      <c r="N43" s="1" t="s">
        <v>287</v>
      </c>
      <c r="O43" s="1" t="s">
        <v>288</v>
      </c>
      <c r="P43" s="1" t="s">
        <v>289</v>
      </c>
      <c r="Q43" s="1" t="s">
        <v>24</v>
      </c>
    </row>
    <row r="44">
      <c r="A44" s="1" t="s">
        <v>290</v>
      </c>
      <c r="B44" s="1" t="s">
        <v>291</v>
      </c>
      <c r="C44" s="1" t="s">
        <v>292</v>
      </c>
      <c r="D44" s="1" t="s">
        <v>22</v>
      </c>
      <c r="E44" s="1" t="s">
        <v>21</v>
      </c>
      <c r="F44" s="1" t="s">
        <v>22</v>
      </c>
      <c r="G44" s="1" t="s">
        <v>22</v>
      </c>
      <c r="H44" s="1" t="s">
        <v>20</v>
      </c>
      <c r="I44" s="1" t="s">
        <v>293</v>
      </c>
      <c r="J44" s="1" t="s">
        <v>42</v>
      </c>
      <c r="K44" s="1" t="s">
        <v>21</v>
      </c>
      <c r="L44" s="1" t="s">
        <v>233</v>
      </c>
      <c r="M44" s="1" t="s">
        <v>213</v>
      </c>
      <c r="N44" s="1" t="s">
        <v>294</v>
      </c>
      <c r="O44" s="1" t="s">
        <v>295</v>
      </c>
      <c r="P44" s="1" t="s">
        <v>296</v>
      </c>
      <c r="Q44" s="1" t="s">
        <v>21</v>
      </c>
    </row>
    <row r="45">
      <c r="A45" s="1" t="s">
        <v>297</v>
      </c>
      <c r="B45" s="1" t="s">
        <v>298</v>
      </c>
      <c r="C45" s="1" t="s">
        <v>299</v>
      </c>
      <c r="D45" s="1" t="s">
        <v>21</v>
      </c>
      <c r="E45" s="1" t="s">
        <v>24</v>
      </c>
      <c r="F45" s="1" t="s">
        <v>42</v>
      </c>
      <c r="G45" s="1" t="s">
        <v>21</v>
      </c>
      <c r="H45" s="1" t="s">
        <v>22</v>
      </c>
      <c r="I45" s="1" t="s">
        <v>83</v>
      </c>
      <c r="J45" s="1" t="s">
        <v>20</v>
      </c>
      <c r="K45" s="1" t="s">
        <v>24</v>
      </c>
      <c r="L45" s="1" t="s">
        <v>300</v>
      </c>
      <c r="M45" s="1" t="s">
        <v>44</v>
      </c>
      <c r="N45" s="1" t="s">
        <v>27</v>
      </c>
      <c r="O45" s="1" t="s">
        <v>69</v>
      </c>
      <c r="P45" s="1" t="s">
        <v>301</v>
      </c>
      <c r="Q45" s="1" t="s">
        <v>21</v>
      </c>
    </row>
    <row r="46">
      <c r="A46" s="1" t="s">
        <v>302</v>
      </c>
      <c r="B46" s="1" t="s">
        <v>303</v>
      </c>
      <c r="C46" s="1" t="s">
        <v>304</v>
      </c>
      <c r="D46" s="1" t="s">
        <v>21</v>
      </c>
      <c r="E46" s="1" t="s">
        <v>20</v>
      </c>
      <c r="F46" s="1" t="s">
        <v>20</v>
      </c>
      <c r="G46" s="1" t="s">
        <v>42</v>
      </c>
      <c r="H46" s="1" t="s">
        <v>42</v>
      </c>
      <c r="I46" s="1" t="s">
        <v>293</v>
      </c>
      <c r="J46" s="1" t="s">
        <v>20</v>
      </c>
      <c r="K46" s="1" t="s">
        <v>24</v>
      </c>
      <c r="L46" s="1" t="s">
        <v>34</v>
      </c>
      <c r="M46" s="1" t="s">
        <v>35</v>
      </c>
      <c r="N46" s="1" t="s">
        <v>36</v>
      </c>
      <c r="O46" s="1" t="s">
        <v>305</v>
      </c>
      <c r="P46" s="1" t="s">
        <v>306</v>
      </c>
      <c r="Q46" s="1" t="s">
        <v>22</v>
      </c>
    </row>
    <row r="47">
      <c r="A47" s="1" t="s">
        <v>307</v>
      </c>
      <c r="B47" s="1" t="s">
        <v>308</v>
      </c>
      <c r="C47" s="1" t="s">
        <v>309</v>
      </c>
      <c r="D47" s="1" t="s">
        <v>21</v>
      </c>
      <c r="E47" s="1" t="s">
        <v>22</v>
      </c>
      <c r="F47" s="1" t="s">
        <v>24</v>
      </c>
      <c r="G47" s="1" t="s">
        <v>22</v>
      </c>
      <c r="H47" s="1" t="s">
        <v>21</v>
      </c>
      <c r="I47" s="1" t="s">
        <v>107</v>
      </c>
      <c r="J47" s="1" t="s">
        <v>20</v>
      </c>
      <c r="K47" s="1" t="s">
        <v>24</v>
      </c>
      <c r="L47" s="1" t="s">
        <v>90</v>
      </c>
      <c r="M47" s="1" t="s">
        <v>23</v>
      </c>
      <c r="N47" s="1" t="s">
        <v>84</v>
      </c>
      <c r="O47" s="1" t="s">
        <v>274</v>
      </c>
      <c r="P47" s="1" t="s">
        <v>310</v>
      </c>
      <c r="Q47" s="1" t="s">
        <v>22</v>
      </c>
    </row>
    <row r="48">
      <c r="A48" s="1" t="s">
        <v>311</v>
      </c>
      <c r="B48" s="1" t="s">
        <v>312</v>
      </c>
      <c r="C48" s="1" t="s">
        <v>313</v>
      </c>
      <c r="D48" s="1" t="s">
        <v>21</v>
      </c>
      <c r="E48" s="1" t="s">
        <v>24</v>
      </c>
      <c r="F48" s="1" t="s">
        <v>42</v>
      </c>
      <c r="G48" s="1" t="s">
        <v>21</v>
      </c>
      <c r="H48" s="1" t="s">
        <v>42</v>
      </c>
      <c r="I48" s="1" t="s">
        <v>90</v>
      </c>
      <c r="J48" s="1" t="s">
        <v>20</v>
      </c>
      <c r="K48" s="1" t="s">
        <v>24</v>
      </c>
      <c r="L48" s="1" t="s">
        <v>206</v>
      </c>
      <c r="M48" s="1" t="s">
        <v>273</v>
      </c>
      <c r="N48" s="1" t="s">
        <v>36</v>
      </c>
      <c r="O48" s="1" t="s">
        <v>314</v>
      </c>
      <c r="P48" s="1" t="s">
        <v>315</v>
      </c>
      <c r="Q48" s="1" t="s">
        <v>24</v>
      </c>
    </row>
    <row r="49">
      <c r="A49" s="1" t="s">
        <v>316</v>
      </c>
      <c r="B49" s="1" t="s">
        <v>317</v>
      </c>
      <c r="C49" s="1" t="s">
        <v>318</v>
      </c>
      <c r="D49" s="1" t="s">
        <v>21</v>
      </c>
      <c r="E49" s="1" t="s">
        <v>24</v>
      </c>
      <c r="F49" s="1" t="s">
        <v>42</v>
      </c>
      <c r="G49" s="1" t="s">
        <v>21</v>
      </c>
      <c r="H49" s="1" t="s">
        <v>20</v>
      </c>
      <c r="I49" s="1" t="s">
        <v>83</v>
      </c>
      <c r="J49" s="1" t="s">
        <v>21</v>
      </c>
      <c r="K49" s="1" t="s">
        <v>24</v>
      </c>
      <c r="L49" s="1" t="s">
        <v>22</v>
      </c>
      <c r="M49" s="1" t="s">
        <v>319</v>
      </c>
      <c r="N49" s="1" t="s">
        <v>207</v>
      </c>
      <c r="O49" s="1" t="s">
        <v>320</v>
      </c>
      <c r="P49" s="1" t="s">
        <v>321</v>
      </c>
      <c r="Q49" s="1" t="s">
        <v>21</v>
      </c>
    </row>
    <row r="50">
      <c r="A50" s="1" t="s">
        <v>322</v>
      </c>
      <c r="B50" s="1" t="s">
        <v>323</v>
      </c>
      <c r="C50" s="1" t="s">
        <v>324</v>
      </c>
      <c r="D50" s="1" t="s">
        <v>21</v>
      </c>
      <c r="E50" s="1" t="s">
        <v>21</v>
      </c>
      <c r="F50" s="1" t="s">
        <v>42</v>
      </c>
      <c r="G50" s="1" t="s">
        <v>20</v>
      </c>
      <c r="H50" s="1" t="s">
        <v>42</v>
      </c>
      <c r="I50" s="1" t="s">
        <v>43</v>
      </c>
      <c r="J50" s="1" t="s">
        <v>20</v>
      </c>
      <c r="K50" s="1" t="s">
        <v>24</v>
      </c>
      <c r="L50" s="1" t="s">
        <v>22</v>
      </c>
      <c r="M50" s="1" t="s">
        <v>273</v>
      </c>
      <c r="N50" s="1" t="s">
        <v>36</v>
      </c>
      <c r="O50" s="1" t="s">
        <v>325</v>
      </c>
      <c r="P50" s="1" t="s">
        <v>326</v>
      </c>
      <c r="Q50" s="1" t="s">
        <v>21</v>
      </c>
    </row>
    <row r="51">
      <c r="A51" s="1" t="s">
        <v>327</v>
      </c>
      <c r="B51" s="1" t="s">
        <v>328</v>
      </c>
      <c r="C51" s="1" t="s">
        <v>329</v>
      </c>
      <c r="D51" s="1" t="s">
        <v>21</v>
      </c>
      <c r="E51" s="1" t="s">
        <v>24</v>
      </c>
      <c r="F51" s="1" t="s">
        <v>42</v>
      </c>
      <c r="G51" s="1" t="s">
        <v>24</v>
      </c>
      <c r="H51" s="1" t="s">
        <v>21</v>
      </c>
      <c r="I51" s="1" t="s">
        <v>34</v>
      </c>
      <c r="J51" s="1" t="s">
        <v>22</v>
      </c>
      <c r="K51" s="1" t="s">
        <v>24</v>
      </c>
      <c r="L51" s="1" t="s">
        <v>300</v>
      </c>
      <c r="M51" s="1" t="s">
        <v>330</v>
      </c>
      <c r="N51" s="1" t="s">
        <v>36</v>
      </c>
      <c r="O51" s="1" t="s">
        <v>331</v>
      </c>
      <c r="P51" s="1" t="s">
        <v>332</v>
      </c>
      <c r="Q51" s="1" t="s">
        <v>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8.25"/>
    <col customWidth="1" min="17" max="17" width="13.88"/>
  </cols>
  <sheetData>
    <row r="1">
      <c r="A1" s="1" t="s">
        <v>333</v>
      </c>
      <c r="B1" s="1" t="s">
        <v>334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339</v>
      </c>
      <c r="M1" s="1" t="s">
        <v>340</v>
      </c>
      <c r="N1" s="1" t="s">
        <v>341</v>
      </c>
      <c r="P1" s="2" t="s">
        <v>342</v>
      </c>
      <c r="Q1" s="2" t="s">
        <v>343</v>
      </c>
      <c r="R1" s="2" t="s">
        <v>344</v>
      </c>
      <c r="T1" s="2" t="s">
        <v>345</v>
      </c>
      <c r="U1" s="2" t="s">
        <v>346</v>
      </c>
      <c r="V1" s="2" t="s">
        <v>347</v>
      </c>
    </row>
    <row r="2">
      <c r="A2" s="1" t="s">
        <v>348</v>
      </c>
      <c r="B2" s="1" t="s">
        <v>36</v>
      </c>
      <c r="C2" s="1" t="s">
        <v>24</v>
      </c>
      <c r="D2" s="1" t="s">
        <v>42</v>
      </c>
      <c r="E2" s="1" t="s">
        <v>20</v>
      </c>
      <c r="F2" s="1" t="s">
        <v>21</v>
      </c>
      <c r="G2" s="1" t="s">
        <v>21</v>
      </c>
      <c r="H2" s="1" t="s">
        <v>146</v>
      </c>
      <c r="I2" s="1" t="s">
        <v>42</v>
      </c>
      <c r="J2" s="1" t="s">
        <v>349</v>
      </c>
      <c r="K2" s="1" t="s">
        <v>82</v>
      </c>
      <c r="L2" s="1" t="s">
        <v>350</v>
      </c>
      <c r="M2" s="1" t="s">
        <v>206</v>
      </c>
      <c r="N2" s="1" t="s">
        <v>24</v>
      </c>
      <c r="P2" s="3">
        <f t="shared" ref="P2:P156" si="1">1 - ( ( (C2 - 5)^2 + (D2 - 2)^2 + (E2 - 1)^2 + (F2 - 5)^2 + (G2 - 4)^2 ) / 80 )</f>
        <v>0.475</v>
      </c>
      <c r="Q2" s="3">
        <f t="shared" ref="Q2:Q156" si="2">1 - ( ( (C2 - 4)^2 + (D2 - 1)^2 + (E2 - 5)^2 + (F2 - 3)^2 + (G2 - 2)^2 ) / 80 )</f>
        <v>0.625</v>
      </c>
      <c r="R2" s="3">
        <f t="shared" ref="R2:R156" si="3">1 - ( ( (C2 - 2)^2 + (D2 - 3)^2 + (E2 - 3)^2 + (F2 - 5)^2 + (G2 - 5)^2 ) / 80 )</f>
        <v>0.7125</v>
      </c>
      <c r="T2" s="3">
        <f t="shared" ref="T2:T156" si="4">(1 - (((C2-5)^2 + (D2-2)^2 + (E2-1)^2 + (F2-5)^2 + (G2-4)^2) / 80)) * 0.8</f>
        <v>0.38</v>
      </c>
      <c r="U2" s="3">
        <f t="shared" ref="U2:U156" si="5">(1 - (((C2-4)^2 + (D2-1)^2 + (E2-5)^2 + (F2-3)^2 + (G2-2)^2) / 80)) * 1.6</f>
        <v>1</v>
      </c>
      <c r="V2" s="3">
        <f t="shared" ref="V2:V156" si="6">(1 - (((C2-2)^2 + (D2-3)^2 + (E2-3)^2 + (F2-5)^2 + (G2-5)^2) / 80)) * 0.32</f>
        <v>0.228</v>
      </c>
    </row>
    <row r="3">
      <c r="A3" s="1" t="s">
        <v>351</v>
      </c>
      <c r="B3" s="1" t="s">
        <v>36</v>
      </c>
      <c r="C3" s="1" t="s">
        <v>20</v>
      </c>
      <c r="D3" s="1" t="s">
        <v>22</v>
      </c>
      <c r="E3" s="1" t="s">
        <v>21</v>
      </c>
      <c r="F3" s="1" t="s">
        <v>20</v>
      </c>
      <c r="G3" s="1" t="s">
        <v>21</v>
      </c>
      <c r="H3" s="1" t="s">
        <v>352</v>
      </c>
      <c r="I3" s="1" t="s">
        <v>42</v>
      </c>
      <c r="J3" s="1" t="s">
        <v>353</v>
      </c>
      <c r="K3" s="1" t="s">
        <v>43</v>
      </c>
      <c r="L3" s="1" t="s">
        <v>64</v>
      </c>
      <c r="M3" s="1" t="s">
        <v>24</v>
      </c>
      <c r="N3" s="1" t="s">
        <v>206</v>
      </c>
      <c r="P3" s="3">
        <f t="shared" si="1"/>
        <v>0.7875</v>
      </c>
      <c r="Q3" s="3">
        <f t="shared" si="2"/>
        <v>0.7625</v>
      </c>
      <c r="R3" s="3">
        <f t="shared" si="3"/>
        <v>0.8</v>
      </c>
      <c r="T3" s="3">
        <f t="shared" si="4"/>
        <v>0.63</v>
      </c>
      <c r="U3" s="3">
        <f t="shared" si="5"/>
        <v>1.22</v>
      </c>
      <c r="V3" s="3">
        <f t="shared" si="6"/>
        <v>0.256</v>
      </c>
    </row>
    <row r="4">
      <c r="A4" s="1" t="s">
        <v>354</v>
      </c>
      <c r="B4" s="1" t="s">
        <v>36</v>
      </c>
      <c r="C4" s="1" t="s">
        <v>22</v>
      </c>
      <c r="D4" s="1" t="s">
        <v>24</v>
      </c>
      <c r="E4" s="1" t="s">
        <v>21</v>
      </c>
      <c r="F4" s="1" t="s">
        <v>42</v>
      </c>
      <c r="G4" s="1" t="s">
        <v>20</v>
      </c>
      <c r="H4" s="1" t="s">
        <v>160</v>
      </c>
      <c r="I4" s="1" t="s">
        <v>20</v>
      </c>
      <c r="J4" s="1" t="s">
        <v>355</v>
      </c>
      <c r="K4" s="1" t="s">
        <v>43</v>
      </c>
      <c r="L4" s="1" t="s">
        <v>136</v>
      </c>
      <c r="M4" s="1" t="s">
        <v>206</v>
      </c>
      <c r="N4" s="1" t="s">
        <v>24</v>
      </c>
      <c r="P4" s="3">
        <f t="shared" si="1"/>
        <v>0.95</v>
      </c>
      <c r="Q4" s="3">
        <f t="shared" si="2"/>
        <v>0.825</v>
      </c>
      <c r="R4" s="3">
        <f t="shared" si="3"/>
        <v>0.8375</v>
      </c>
      <c r="T4" s="3">
        <f t="shared" si="4"/>
        <v>0.76</v>
      </c>
      <c r="U4" s="3">
        <f t="shared" si="5"/>
        <v>1.32</v>
      </c>
      <c r="V4" s="3">
        <f t="shared" si="6"/>
        <v>0.268</v>
      </c>
    </row>
    <row r="5">
      <c r="A5" s="1" t="s">
        <v>356</v>
      </c>
      <c r="B5" s="1" t="s">
        <v>36</v>
      </c>
      <c r="C5" s="1" t="s">
        <v>42</v>
      </c>
      <c r="D5" s="1" t="s">
        <v>24</v>
      </c>
      <c r="E5" s="1" t="s">
        <v>20</v>
      </c>
      <c r="F5" s="1" t="s">
        <v>20</v>
      </c>
      <c r="G5" s="1" t="s">
        <v>20</v>
      </c>
      <c r="H5" s="1" t="s">
        <v>357</v>
      </c>
      <c r="I5" s="1" t="s">
        <v>21</v>
      </c>
      <c r="J5" s="1" t="s">
        <v>358</v>
      </c>
      <c r="K5" s="1" t="s">
        <v>300</v>
      </c>
      <c r="L5" s="1" t="s">
        <v>290</v>
      </c>
      <c r="M5" s="1" t="s">
        <v>24</v>
      </c>
      <c r="N5" s="1" t="s">
        <v>24</v>
      </c>
      <c r="P5" s="3">
        <f t="shared" si="1"/>
        <v>0.875</v>
      </c>
      <c r="Q5" s="3">
        <f t="shared" si="2"/>
        <v>0.925</v>
      </c>
      <c r="R5" s="3">
        <f t="shared" si="3"/>
        <v>0.7375</v>
      </c>
      <c r="T5" s="3">
        <f t="shared" si="4"/>
        <v>0.7</v>
      </c>
      <c r="U5" s="3">
        <f t="shared" si="5"/>
        <v>1.48</v>
      </c>
      <c r="V5" s="3">
        <f t="shared" si="6"/>
        <v>0.236</v>
      </c>
    </row>
    <row r="6">
      <c r="A6" s="1" t="s">
        <v>359</v>
      </c>
      <c r="B6" s="1" t="s">
        <v>36</v>
      </c>
      <c r="C6" s="1" t="s">
        <v>21</v>
      </c>
      <c r="D6" s="1" t="s">
        <v>20</v>
      </c>
      <c r="E6" s="1" t="s">
        <v>21</v>
      </c>
      <c r="F6" s="1" t="s">
        <v>22</v>
      </c>
      <c r="G6" s="1" t="s">
        <v>20</v>
      </c>
      <c r="H6" s="1" t="s">
        <v>105</v>
      </c>
      <c r="I6" s="1" t="s">
        <v>21</v>
      </c>
      <c r="J6" s="1" t="s">
        <v>360</v>
      </c>
      <c r="K6" s="1" t="s">
        <v>82</v>
      </c>
      <c r="L6" s="1" t="s">
        <v>220</v>
      </c>
      <c r="M6" s="1" t="s">
        <v>24</v>
      </c>
      <c r="N6" s="1" t="s">
        <v>206</v>
      </c>
      <c r="P6" s="3">
        <f t="shared" si="1"/>
        <v>0.8375</v>
      </c>
      <c r="Q6" s="3">
        <f t="shared" si="2"/>
        <v>0.7625</v>
      </c>
      <c r="R6" s="3">
        <f t="shared" si="3"/>
        <v>0.925</v>
      </c>
      <c r="T6" s="3">
        <f t="shared" si="4"/>
        <v>0.67</v>
      </c>
      <c r="U6" s="3">
        <f t="shared" si="5"/>
        <v>1.22</v>
      </c>
      <c r="V6" s="3">
        <f t="shared" si="6"/>
        <v>0.296</v>
      </c>
    </row>
    <row r="7">
      <c r="A7" s="1" t="s">
        <v>361</v>
      </c>
      <c r="B7" s="1" t="s">
        <v>36</v>
      </c>
      <c r="C7" s="1" t="s">
        <v>20</v>
      </c>
      <c r="D7" s="1" t="s">
        <v>20</v>
      </c>
      <c r="E7" s="1" t="s">
        <v>20</v>
      </c>
      <c r="F7" s="1" t="s">
        <v>20</v>
      </c>
      <c r="G7" s="1" t="s">
        <v>22</v>
      </c>
      <c r="H7" s="1" t="s">
        <v>54</v>
      </c>
      <c r="I7" s="1" t="s">
        <v>22</v>
      </c>
      <c r="J7" s="1" t="s">
        <v>362</v>
      </c>
      <c r="K7" s="1" t="s">
        <v>23</v>
      </c>
      <c r="L7" s="1" t="s">
        <v>177</v>
      </c>
      <c r="M7" s="1" t="s">
        <v>206</v>
      </c>
      <c r="N7" s="1" t="s">
        <v>206</v>
      </c>
      <c r="P7" s="3">
        <f t="shared" si="1"/>
        <v>0.8375</v>
      </c>
      <c r="Q7" s="3">
        <f t="shared" si="2"/>
        <v>0.8375</v>
      </c>
      <c r="R7" s="3">
        <f t="shared" si="3"/>
        <v>0.925</v>
      </c>
      <c r="T7" s="3">
        <f t="shared" si="4"/>
        <v>0.67</v>
      </c>
      <c r="U7" s="3">
        <f t="shared" si="5"/>
        <v>1.34</v>
      </c>
      <c r="V7" s="3">
        <f t="shared" si="6"/>
        <v>0.296</v>
      </c>
    </row>
    <row r="8">
      <c r="A8" s="1" t="s">
        <v>363</v>
      </c>
      <c r="B8" s="1" t="s">
        <v>36</v>
      </c>
      <c r="C8" s="1" t="s">
        <v>20</v>
      </c>
      <c r="D8" s="1" t="s">
        <v>21</v>
      </c>
      <c r="E8" s="1" t="s">
        <v>24</v>
      </c>
      <c r="F8" s="1" t="s">
        <v>42</v>
      </c>
      <c r="G8" s="1" t="s">
        <v>21</v>
      </c>
      <c r="H8" s="1" t="s">
        <v>33</v>
      </c>
      <c r="I8" s="1" t="s">
        <v>22</v>
      </c>
      <c r="J8" s="1" t="s">
        <v>364</v>
      </c>
      <c r="K8" s="1" t="s">
        <v>300</v>
      </c>
      <c r="L8" s="1" t="s">
        <v>136</v>
      </c>
      <c r="M8" s="1" t="s">
        <v>206</v>
      </c>
      <c r="N8" s="1" t="s">
        <v>24</v>
      </c>
      <c r="P8" s="3">
        <f t="shared" si="1"/>
        <v>0.9</v>
      </c>
      <c r="Q8" s="3">
        <f t="shared" si="2"/>
        <v>0.725</v>
      </c>
      <c r="R8" s="3">
        <f t="shared" si="3"/>
        <v>0.8125</v>
      </c>
      <c r="T8" s="3">
        <f t="shared" si="4"/>
        <v>0.72</v>
      </c>
      <c r="U8" s="3">
        <f t="shared" si="5"/>
        <v>1.16</v>
      </c>
      <c r="V8" s="3">
        <f t="shared" si="6"/>
        <v>0.26</v>
      </c>
    </row>
    <row r="9">
      <c r="A9" s="1" t="s">
        <v>365</v>
      </c>
      <c r="B9" s="1" t="s">
        <v>36</v>
      </c>
      <c r="C9" s="1" t="s">
        <v>20</v>
      </c>
      <c r="D9" s="1" t="s">
        <v>22</v>
      </c>
      <c r="E9" s="1" t="s">
        <v>24</v>
      </c>
      <c r="F9" s="1" t="s">
        <v>21</v>
      </c>
      <c r="G9" s="1" t="s">
        <v>22</v>
      </c>
      <c r="H9" s="1" t="s">
        <v>366</v>
      </c>
      <c r="I9" s="1" t="s">
        <v>22</v>
      </c>
      <c r="J9" s="1" t="s">
        <v>367</v>
      </c>
      <c r="K9" s="1" t="s">
        <v>300</v>
      </c>
      <c r="L9" s="1" t="s">
        <v>120</v>
      </c>
      <c r="M9" s="1" t="s">
        <v>206</v>
      </c>
      <c r="N9" s="1" t="s">
        <v>24</v>
      </c>
      <c r="P9" s="3">
        <f t="shared" si="1"/>
        <v>0.7875</v>
      </c>
      <c r="Q9" s="3">
        <f t="shared" si="2"/>
        <v>0.6125</v>
      </c>
      <c r="R9" s="3">
        <f t="shared" si="3"/>
        <v>0.8</v>
      </c>
      <c r="T9" s="3">
        <f t="shared" si="4"/>
        <v>0.63</v>
      </c>
      <c r="U9" s="3">
        <f t="shared" si="5"/>
        <v>0.98</v>
      </c>
      <c r="V9" s="3">
        <f t="shared" si="6"/>
        <v>0.256</v>
      </c>
    </row>
    <row r="10">
      <c r="A10" s="1" t="s">
        <v>368</v>
      </c>
      <c r="B10" s="1" t="s">
        <v>36</v>
      </c>
      <c r="C10" s="1" t="s">
        <v>20</v>
      </c>
      <c r="D10" s="1" t="s">
        <v>21</v>
      </c>
      <c r="E10" s="1" t="s">
        <v>22</v>
      </c>
      <c r="F10" s="1" t="s">
        <v>20</v>
      </c>
      <c r="G10" s="1" t="s">
        <v>42</v>
      </c>
      <c r="H10" s="1" t="s">
        <v>52</v>
      </c>
      <c r="I10" s="1" t="s">
        <v>20</v>
      </c>
      <c r="J10" s="1" t="s">
        <v>369</v>
      </c>
      <c r="K10" s="1" t="s">
        <v>23</v>
      </c>
      <c r="L10" s="1" t="s">
        <v>322</v>
      </c>
      <c r="M10" s="1" t="s">
        <v>206</v>
      </c>
      <c r="N10" s="1" t="s">
        <v>24</v>
      </c>
      <c r="P10" s="3">
        <f t="shared" si="1"/>
        <v>0.775</v>
      </c>
      <c r="Q10" s="3">
        <f t="shared" si="2"/>
        <v>0.85</v>
      </c>
      <c r="R10" s="3">
        <f t="shared" si="3"/>
        <v>0.9125</v>
      </c>
      <c r="T10" s="3">
        <f t="shared" si="4"/>
        <v>0.62</v>
      </c>
      <c r="U10" s="3">
        <f t="shared" si="5"/>
        <v>1.36</v>
      </c>
      <c r="V10" s="3">
        <f t="shared" si="6"/>
        <v>0.292</v>
      </c>
    </row>
    <row r="11">
      <c r="A11" s="1" t="s">
        <v>370</v>
      </c>
      <c r="B11" s="1" t="s">
        <v>36</v>
      </c>
      <c r="C11" s="1" t="s">
        <v>20</v>
      </c>
      <c r="D11" s="1" t="s">
        <v>24</v>
      </c>
      <c r="E11" s="1" t="s">
        <v>20</v>
      </c>
      <c r="F11" s="1" t="s">
        <v>42</v>
      </c>
      <c r="G11" s="1" t="s">
        <v>20</v>
      </c>
      <c r="H11" s="1" t="s">
        <v>357</v>
      </c>
      <c r="I11" s="1" t="s">
        <v>42</v>
      </c>
      <c r="J11" s="1" t="s">
        <v>360</v>
      </c>
      <c r="K11" s="1" t="s">
        <v>300</v>
      </c>
      <c r="L11" s="1" t="s">
        <v>136</v>
      </c>
      <c r="M11" s="1" t="s">
        <v>206</v>
      </c>
      <c r="N11" s="1" t="s">
        <v>206</v>
      </c>
      <c r="P11" s="3">
        <f t="shared" si="1"/>
        <v>0.875</v>
      </c>
      <c r="Q11" s="3">
        <f t="shared" si="2"/>
        <v>0.875</v>
      </c>
      <c r="R11" s="3">
        <f t="shared" si="3"/>
        <v>0.8875</v>
      </c>
      <c r="T11" s="3">
        <f t="shared" si="4"/>
        <v>0.7</v>
      </c>
      <c r="U11" s="3">
        <f t="shared" si="5"/>
        <v>1.4</v>
      </c>
      <c r="V11" s="3">
        <f t="shared" si="6"/>
        <v>0.284</v>
      </c>
    </row>
    <row r="12">
      <c r="A12" s="1" t="s">
        <v>371</v>
      </c>
      <c r="B12" s="1" t="s">
        <v>36</v>
      </c>
      <c r="C12" s="1" t="s">
        <v>21</v>
      </c>
      <c r="D12" s="1" t="s">
        <v>20</v>
      </c>
      <c r="E12" s="1" t="s">
        <v>22</v>
      </c>
      <c r="F12" s="1" t="s">
        <v>24</v>
      </c>
      <c r="G12" s="1" t="s">
        <v>22</v>
      </c>
      <c r="H12" s="1" t="s">
        <v>372</v>
      </c>
      <c r="I12" s="1" t="s">
        <v>22</v>
      </c>
      <c r="J12" s="1" t="s">
        <v>358</v>
      </c>
      <c r="K12" s="1" t="s">
        <v>300</v>
      </c>
      <c r="L12" s="1" t="s">
        <v>111</v>
      </c>
      <c r="M12" s="1" t="s">
        <v>24</v>
      </c>
      <c r="N12" s="1" t="s">
        <v>24</v>
      </c>
      <c r="P12" s="3">
        <f t="shared" si="1"/>
        <v>0.5625</v>
      </c>
      <c r="Q12" s="3">
        <f t="shared" si="2"/>
        <v>0.7875</v>
      </c>
      <c r="R12" s="3">
        <f t="shared" si="3"/>
        <v>0.775</v>
      </c>
      <c r="T12" s="3">
        <f t="shared" si="4"/>
        <v>0.45</v>
      </c>
      <c r="U12" s="3">
        <f t="shared" si="5"/>
        <v>1.26</v>
      </c>
      <c r="V12" s="3">
        <f t="shared" si="6"/>
        <v>0.248</v>
      </c>
    </row>
    <row r="13">
      <c r="A13" s="1" t="s">
        <v>373</v>
      </c>
      <c r="B13" s="1" t="s">
        <v>36</v>
      </c>
      <c r="C13" s="1" t="s">
        <v>24</v>
      </c>
      <c r="D13" s="1" t="s">
        <v>21</v>
      </c>
      <c r="E13" s="1" t="s">
        <v>22</v>
      </c>
      <c r="F13" s="1" t="s">
        <v>20</v>
      </c>
      <c r="G13" s="1" t="s">
        <v>22</v>
      </c>
      <c r="H13" s="1" t="s">
        <v>374</v>
      </c>
      <c r="I13" s="1" t="s">
        <v>42</v>
      </c>
      <c r="J13" s="1" t="s">
        <v>375</v>
      </c>
      <c r="K13" s="1" t="s">
        <v>74</v>
      </c>
      <c r="L13" s="1" t="s">
        <v>284</v>
      </c>
      <c r="M13" s="1" t="s">
        <v>206</v>
      </c>
      <c r="N13" s="1" t="s">
        <v>24</v>
      </c>
      <c r="P13" s="3">
        <f t="shared" si="1"/>
        <v>0.6375</v>
      </c>
      <c r="Q13" s="3">
        <f t="shared" si="2"/>
        <v>0.8125</v>
      </c>
      <c r="R13" s="3">
        <f t="shared" si="3"/>
        <v>0.9</v>
      </c>
      <c r="T13" s="3">
        <f t="shared" si="4"/>
        <v>0.51</v>
      </c>
      <c r="U13" s="3">
        <f t="shared" si="5"/>
        <v>1.3</v>
      </c>
      <c r="V13" s="3">
        <f t="shared" si="6"/>
        <v>0.288</v>
      </c>
    </row>
    <row r="14">
      <c r="A14" s="1" t="s">
        <v>376</v>
      </c>
      <c r="B14" s="1" t="s">
        <v>36</v>
      </c>
      <c r="C14" s="1" t="s">
        <v>20</v>
      </c>
      <c r="D14" s="1" t="s">
        <v>24</v>
      </c>
      <c r="E14" s="1" t="s">
        <v>24</v>
      </c>
      <c r="F14" s="1" t="s">
        <v>22</v>
      </c>
      <c r="G14" s="1" t="s">
        <v>21</v>
      </c>
      <c r="H14" s="1" t="s">
        <v>249</v>
      </c>
      <c r="I14" s="1" t="s">
        <v>42</v>
      </c>
      <c r="J14" s="1" t="s">
        <v>349</v>
      </c>
      <c r="K14" s="1" t="s">
        <v>23</v>
      </c>
      <c r="L14" s="1" t="s">
        <v>64</v>
      </c>
      <c r="M14" s="1" t="s">
        <v>24</v>
      </c>
      <c r="N14" s="1" t="s">
        <v>206</v>
      </c>
      <c r="P14" s="3">
        <f t="shared" si="1"/>
        <v>0.875</v>
      </c>
      <c r="Q14" s="3">
        <f t="shared" si="2"/>
        <v>0.775</v>
      </c>
      <c r="R14" s="3">
        <f t="shared" si="3"/>
        <v>0.7625</v>
      </c>
      <c r="T14" s="3">
        <f t="shared" si="4"/>
        <v>0.7</v>
      </c>
      <c r="U14" s="3">
        <f t="shared" si="5"/>
        <v>1.24</v>
      </c>
      <c r="V14" s="3">
        <f t="shared" si="6"/>
        <v>0.244</v>
      </c>
    </row>
    <row r="15">
      <c r="A15" s="1" t="s">
        <v>377</v>
      </c>
      <c r="B15" s="1" t="s">
        <v>36</v>
      </c>
      <c r="C15" s="1" t="s">
        <v>21</v>
      </c>
      <c r="D15" s="1" t="s">
        <v>21</v>
      </c>
      <c r="E15" s="1" t="s">
        <v>21</v>
      </c>
      <c r="F15" s="1" t="s">
        <v>20</v>
      </c>
      <c r="G15" s="1" t="s">
        <v>20</v>
      </c>
      <c r="H15" s="1" t="s">
        <v>378</v>
      </c>
      <c r="I15" s="1" t="s">
        <v>22</v>
      </c>
      <c r="J15" s="1" t="s">
        <v>355</v>
      </c>
      <c r="K15" s="1" t="s">
        <v>23</v>
      </c>
      <c r="L15" s="1" t="s">
        <v>379</v>
      </c>
      <c r="M15" s="1" t="s">
        <v>206</v>
      </c>
      <c r="N15" s="1" t="s">
        <v>206</v>
      </c>
      <c r="P15" s="3">
        <f t="shared" si="1"/>
        <v>0.8125</v>
      </c>
      <c r="Q15" s="3">
        <f t="shared" si="2"/>
        <v>0.8125</v>
      </c>
      <c r="R15" s="3">
        <f t="shared" si="3"/>
        <v>0.875</v>
      </c>
      <c r="T15" s="3">
        <f t="shared" si="4"/>
        <v>0.65</v>
      </c>
      <c r="U15" s="3">
        <f t="shared" si="5"/>
        <v>1.3</v>
      </c>
      <c r="V15" s="3">
        <f t="shared" si="6"/>
        <v>0.28</v>
      </c>
    </row>
    <row r="16">
      <c r="A16" s="1" t="s">
        <v>380</v>
      </c>
      <c r="B16" s="1" t="s">
        <v>36</v>
      </c>
      <c r="C16" s="1" t="s">
        <v>20</v>
      </c>
      <c r="D16" s="1" t="s">
        <v>24</v>
      </c>
      <c r="E16" s="1" t="s">
        <v>24</v>
      </c>
      <c r="F16" s="1" t="s">
        <v>42</v>
      </c>
      <c r="G16" s="1" t="s">
        <v>20</v>
      </c>
      <c r="H16" s="1" t="s">
        <v>54</v>
      </c>
      <c r="I16" s="1" t="s">
        <v>42</v>
      </c>
      <c r="J16" s="1" t="s">
        <v>381</v>
      </c>
      <c r="K16" s="1" t="s">
        <v>300</v>
      </c>
      <c r="L16" s="1" t="s">
        <v>136</v>
      </c>
      <c r="M16" s="1" t="s">
        <v>206</v>
      </c>
      <c r="N16" s="1" t="s">
        <v>24</v>
      </c>
      <c r="P16" s="3">
        <f t="shared" si="1"/>
        <v>0.925</v>
      </c>
      <c r="Q16" s="3">
        <f t="shared" si="2"/>
        <v>0.725</v>
      </c>
      <c r="R16" s="3">
        <f t="shared" si="3"/>
        <v>0.8375</v>
      </c>
      <c r="T16" s="3">
        <f t="shared" si="4"/>
        <v>0.74</v>
      </c>
      <c r="U16" s="3">
        <f t="shared" si="5"/>
        <v>1.16</v>
      </c>
      <c r="V16" s="3">
        <f t="shared" si="6"/>
        <v>0.268</v>
      </c>
    </row>
    <row r="17">
      <c r="A17" s="1" t="s">
        <v>382</v>
      </c>
      <c r="B17" s="1" t="s">
        <v>36</v>
      </c>
      <c r="C17" s="1" t="s">
        <v>20</v>
      </c>
      <c r="D17" s="1" t="s">
        <v>22</v>
      </c>
      <c r="E17" s="1" t="s">
        <v>20</v>
      </c>
      <c r="F17" s="1" t="s">
        <v>20</v>
      </c>
      <c r="G17" s="1" t="s">
        <v>21</v>
      </c>
      <c r="H17" s="1" t="s">
        <v>383</v>
      </c>
      <c r="I17" s="1" t="s">
        <v>42</v>
      </c>
      <c r="J17" s="1" t="s">
        <v>358</v>
      </c>
      <c r="K17" s="1" t="s">
        <v>300</v>
      </c>
      <c r="L17" s="1" t="s">
        <v>210</v>
      </c>
      <c r="M17" s="1" t="s">
        <v>24</v>
      </c>
      <c r="N17" s="1" t="s">
        <v>24</v>
      </c>
      <c r="P17" s="3">
        <f t="shared" si="1"/>
        <v>0.75</v>
      </c>
      <c r="Q17" s="3">
        <f t="shared" si="2"/>
        <v>0.825</v>
      </c>
      <c r="R17" s="3">
        <f t="shared" si="3"/>
        <v>0.8125</v>
      </c>
      <c r="T17" s="3">
        <f t="shared" si="4"/>
        <v>0.6</v>
      </c>
      <c r="U17" s="3">
        <f t="shared" si="5"/>
        <v>1.32</v>
      </c>
      <c r="V17" s="3">
        <f t="shared" si="6"/>
        <v>0.26</v>
      </c>
    </row>
    <row r="18">
      <c r="A18" s="1" t="s">
        <v>384</v>
      </c>
      <c r="B18" s="1" t="s">
        <v>36</v>
      </c>
      <c r="C18" s="1" t="s">
        <v>22</v>
      </c>
      <c r="D18" s="1" t="s">
        <v>21</v>
      </c>
      <c r="E18" s="1" t="s">
        <v>24</v>
      </c>
      <c r="F18" s="1" t="s">
        <v>42</v>
      </c>
      <c r="G18" s="1" t="s">
        <v>24</v>
      </c>
      <c r="H18" s="1" t="s">
        <v>139</v>
      </c>
      <c r="I18" s="1" t="s">
        <v>20</v>
      </c>
      <c r="J18" s="1" t="s">
        <v>369</v>
      </c>
      <c r="K18" s="1" t="s">
        <v>43</v>
      </c>
      <c r="L18" s="1" t="s">
        <v>220</v>
      </c>
      <c r="M18" s="1" t="s">
        <v>206</v>
      </c>
      <c r="N18" s="1" t="s">
        <v>206</v>
      </c>
      <c r="P18" s="3">
        <f t="shared" si="1"/>
        <v>0.875</v>
      </c>
      <c r="Q18" s="3">
        <f t="shared" si="2"/>
        <v>0.725</v>
      </c>
      <c r="R18" s="3">
        <f t="shared" si="3"/>
        <v>0.6875</v>
      </c>
      <c r="T18" s="3">
        <f t="shared" si="4"/>
        <v>0.7</v>
      </c>
      <c r="U18" s="3">
        <f t="shared" si="5"/>
        <v>1.16</v>
      </c>
      <c r="V18" s="3">
        <f t="shared" si="6"/>
        <v>0.22</v>
      </c>
    </row>
    <row r="19">
      <c r="A19" s="1" t="s">
        <v>385</v>
      </c>
      <c r="B19" s="1" t="s">
        <v>36</v>
      </c>
      <c r="C19" s="1" t="s">
        <v>20</v>
      </c>
      <c r="D19" s="1" t="s">
        <v>20</v>
      </c>
      <c r="E19" s="1" t="s">
        <v>21</v>
      </c>
      <c r="F19" s="1" t="s">
        <v>22</v>
      </c>
      <c r="G19" s="1" t="s">
        <v>20</v>
      </c>
      <c r="H19" s="1" t="s">
        <v>386</v>
      </c>
      <c r="I19" s="1" t="s">
        <v>20</v>
      </c>
      <c r="J19" s="1" t="s">
        <v>349</v>
      </c>
      <c r="K19" s="1" t="s">
        <v>82</v>
      </c>
      <c r="L19" s="1" t="s">
        <v>120</v>
      </c>
      <c r="M19" s="1" t="s">
        <v>24</v>
      </c>
      <c r="N19" s="1" t="s">
        <v>24</v>
      </c>
      <c r="P19" s="3">
        <f t="shared" si="1"/>
        <v>0.9</v>
      </c>
      <c r="Q19" s="3">
        <f t="shared" si="2"/>
        <v>0.8</v>
      </c>
      <c r="R19" s="3">
        <f t="shared" si="3"/>
        <v>0.9125</v>
      </c>
      <c r="T19" s="3">
        <f t="shared" si="4"/>
        <v>0.72</v>
      </c>
      <c r="U19" s="3">
        <f t="shared" si="5"/>
        <v>1.28</v>
      </c>
      <c r="V19" s="3">
        <f t="shared" si="6"/>
        <v>0.292</v>
      </c>
    </row>
    <row r="20">
      <c r="A20" s="1" t="s">
        <v>387</v>
      </c>
      <c r="B20" s="1" t="s">
        <v>36</v>
      </c>
      <c r="C20" s="1" t="s">
        <v>24</v>
      </c>
      <c r="D20" s="1" t="s">
        <v>20</v>
      </c>
      <c r="E20" s="1" t="s">
        <v>20</v>
      </c>
      <c r="F20" s="1" t="s">
        <v>20</v>
      </c>
      <c r="G20" s="1" t="s">
        <v>21</v>
      </c>
      <c r="H20" s="1" t="s">
        <v>388</v>
      </c>
      <c r="I20" s="1" t="s">
        <v>42</v>
      </c>
      <c r="J20" s="1" t="s">
        <v>389</v>
      </c>
      <c r="K20" s="1" t="s">
        <v>23</v>
      </c>
      <c r="L20" s="1" t="s">
        <v>220</v>
      </c>
      <c r="M20" s="1" t="s">
        <v>24</v>
      </c>
      <c r="N20" s="1" t="s">
        <v>24</v>
      </c>
      <c r="P20" s="3">
        <f t="shared" si="1"/>
        <v>0.6375</v>
      </c>
      <c r="Q20" s="3">
        <f t="shared" si="2"/>
        <v>0.7875</v>
      </c>
      <c r="R20" s="3">
        <f t="shared" si="3"/>
        <v>0.825</v>
      </c>
      <c r="T20" s="3">
        <f t="shared" si="4"/>
        <v>0.51</v>
      </c>
      <c r="U20" s="3">
        <f t="shared" si="5"/>
        <v>1.26</v>
      </c>
      <c r="V20" s="3">
        <f t="shared" si="6"/>
        <v>0.264</v>
      </c>
    </row>
    <row r="21">
      <c r="A21" s="1" t="s">
        <v>390</v>
      </c>
      <c r="B21" s="1" t="s">
        <v>36</v>
      </c>
      <c r="C21" s="1" t="s">
        <v>22</v>
      </c>
      <c r="D21" s="1" t="s">
        <v>22</v>
      </c>
      <c r="E21" s="1" t="s">
        <v>20</v>
      </c>
      <c r="F21" s="1" t="s">
        <v>21</v>
      </c>
      <c r="G21" s="1" t="s">
        <v>22</v>
      </c>
      <c r="H21" s="1" t="s">
        <v>391</v>
      </c>
      <c r="I21" s="1" t="s">
        <v>22</v>
      </c>
      <c r="J21" s="1" t="s">
        <v>392</v>
      </c>
      <c r="K21" s="1" t="s">
        <v>300</v>
      </c>
      <c r="L21" s="1" t="s">
        <v>253</v>
      </c>
      <c r="M21" s="1" t="s">
        <v>206</v>
      </c>
      <c r="N21" s="1" t="s">
        <v>24</v>
      </c>
      <c r="P21" s="3">
        <f t="shared" si="1"/>
        <v>0.775</v>
      </c>
      <c r="Q21" s="3">
        <f t="shared" si="2"/>
        <v>0.775</v>
      </c>
      <c r="R21" s="3">
        <f t="shared" si="3"/>
        <v>0.8125</v>
      </c>
      <c r="T21" s="3">
        <f t="shared" si="4"/>
        <v>0.62</v>
      </c>
      <c r="U21" s="3">
        <f t="shared" si="5"/>
        <v>1.24</v>
      </c>
      <c r="V21" s="3">
        <f t="shared" si="6"/>
        <v>0.26</v>
      </c>
    </row>
    <row r="22">
      <c r="A22" s="1" t="s">
        <v>393</v>
      </c>
      <c r="B22" s="1" t="s">
        <v>36</v>
      </c>
      <c r="C22" s="1" t="s">
        <v>22</v>
      </c>
      <c r="D22" s="1" t="s">
        <v>22</v>
      </c>
      <c r="E22" s="1" t="s">
        <v>21</v>
      </c>
      <c r="F22" s="1" t="s">
        <v>20</v>
      </c>
      <c r="G22" s="1" t="s">
        <v>22</v>
      </c>
      <c r="H22" s="1" t="s">
        <v>266</v>
      </c>
      <c r="I22" s="1" t="s">
        <v>22</v>
      </c>
      <c r="J22" s="1" t="s">
        <v>369</v>
      </c>
      <c r="K22" s="1" t="s">
        <v>23</v>
      </c>
      <c r="L22" s="1" t="s">
        <v>177</v>
      </c>
      <c r="M22" s="1" t="s">
        <v>206</v>
      </c>
      <c r="N22" s="1" t="s">
        <v>24</v>
      </c>
      <c r="P22" s="3">
        <f t="shared" si="1"/>
        <v>0.875</v>
      </c>
      <c r="Q22" s="3">
        <f t="shared" si="2"/>
        <v>0.725</v>
      </c>
      <c r="R22" s="3">
        <f t="shared" si="3"/>
        <v>0.8625</v>
      </c>
      <c r="T22" s="3">
        <f t="shared" si="4"/>
        <v>0.7</v>
      </c>
      <c r="U22" s="3">
        <f t="shared" si="5"/>
        <v>1.16</v>
      </c>
      <c r="V22" s="3">
        <f t="shared" si="6"/>
        <v>0.276</v>
      </c>
    </row>
    <row r="23">
      <c r="A23" s="1" t="s">
        <v>394</v>
      </c>
      <c r="B23" s="1" t="s">
        <v>36</v>
      </c>
      <c r="C23" s="1" t="s">
        <v>20</v>
      </c>
      <c r="D23" s="1" t="s">
        <v>20</v>
      </c>
      <c r="E23" s="1" t="s">
        <v>22</v>
      </c>
      <c r="F23" s="1" t="s">
        <v>21</v>
      </c>
      <c r="G23" s="1" t="s">
        <v>21</v>
      </c>
      <c r="H23" s="1" t="s">
        <v>395</v>
      </c>
      <c r="I23" s="1" t="s">
        <v>42</v>
      </c>
      <c r="J23" s="1" t="s">
        <v>369</v>
      </c>
      <c r="K23" s="1" t="s">
        <v>300</v>
      </c>
      <c r="L23" s="1" t="s">
        <v>17</v>
      </c>
      <c r="M23" s="1" t="s">
        <v>206</v>
      </c>
      <c r="N23" s="1" t="s">
        <v>206</v>
      </c>
      <c r="P23" s="3">
        <f t="shared" si="1"/>
        <v>0.6625</v>
      </c>
      <c r="Q23" s="3">
        <f t="shared" si="2"/>
        <v>0.9125</v>
      </c>
      <c r="R23" s="3">
        <f t="shared" si="3"/>
        <v>0.75</v>
      </c>
      <c r="T23" s="3">
        <f t="shared" si="4"/>
        <v>0.53</v>
      </c>
      <c r="U23" s="3">
        <f t="shared" si="5"/>
        <v>1.46</v>
      </c>
      <c r="V23" s="3">
        <f t="shared" si="6"/>
        <v>0.24</v>
      </c>
    </row>
    <row r="24">
      <c r="A24" s="1" t="s">
        <v>396</v>
      </c>
      <c r="B24" s="1" t="s">
        <v>36</v>
      </c>
      <c r="C24" s="1" t="s">
        <v>22</v>
      </c>
      <c r="D24" s="1" t="s">
        <v>24</v>
      </c>
      <c r="E24" s="1" t="s">
        <v>21</v>
      </c>
      <c r="F24" s="1" t="s">
        <v>20</v>
      </c>
      <c r="G24" s="1" t="s">
        <v>20</v>
      </c>
      <c r="H24" s="1" t="s">
        <v>397</v>
      </c>
      <c r="I24" s="1" t="s">
        <v>20</v>
      </c>
      <c r="J24" s="1" t="s">
        <v>398</v>
      </c>
      <c r="K24" s="1" t="s">
        <v>43</v>
      </c>
      <c r="L24" s="1" t="s">
        <v>246</v>
      </c>
      <c r="M24" s="1" t="s">
        <v>206</v>
      </c>
      <c r="N24" s="1" t="s">
        <v>206</v>
      </c>
      <c r="P24" s="3">
        <f t="shared" si="1"/>
        <v>0.9</v>
      </c>
      <c r="Q24" s="3">
        <f t="shared" si="2"/>
        <v>0.875</v>
      </c>
      <c r="R24" s="3">
        <f t="shared" si="3"/>
        <v>0.7875</v>
      </c>
      <c r="T24" s="3">
        <f t="shared" si="4"/>
        <v>0.72</v>
      </c>
      <c r="U24" s="3">
        <f t="shared" si="5"/>
        <v>1.4</v>
      </c>
      <c r="V24" s="3">
        <f t="shared" si="6"/>
        <v>0.252</v>
      </c>
    </row>
    <row r="25">
      <c r="A25" s="1" t="s">
        <v>399</v>
      </c>
      <c r="B25" s="1" t="s">
        <v>36</v>
      </c>
      <c r="C25" s="1" t="s">
        <v>20</v>
      </c>
      <c r="D25" s="1" t="s">
        <v>21</v>
      </c>
      <c r="E25" s="1" t="s">
        <v>20</v>
      </c>
      <c r="F25" s="1" t="s">
        <v>20</v>
      </c>
      <c r="G25" s="1" t="s">
        <v>22</v>
      </c>
      <c r="H25" s="1" t="s">
        <v>391</v>
      </c>
      <c r="I25" s="1" t="s">
        <v>42</v>
      </c>
      <c r="J25" s="1" t="s">
        <v>355</v>
      </c>
      <c r="K25" s="1" t="s">
        <v>82</v>
      </c>
      <c r="L25" s="1" t="s">
        <v>302</v>
      </c>
      <c r="M25" s="1" t="s">
        <v>24</v>
      </c>
      <c r="N25" s="1" t="s">
        <v>206</v>
      </c>
      <c r="P25" s="3">
        <f t="shared" si="1"/>
        <v>0.85</v>
      </c>
      <c r="Q25" s="3">
        <f t="shared" si="2"/>
        <v>0.875</v>
      </c>
      <c r="R25" s="3">
        <f t="shared" si="3"/>
        <v>0.9125</v>
      </c>
      <c r="T25" s="3">
        <f t="shared" si="4"/>
        <v>0.68</v>
      </c>
      <c r="U25" s="3">
        <f t="shared" si="5"/>
        <v>1.4</v>
      </c>
      <c r="V25" s="3">
        <f t="shared" si="6"/>
        <v>0.292</v>
      </c>
    </row>
    <row r="26">
      <c r="A26" s="1" t="s">
        <v>400</v>
      </c>
      <c r="B26" s="1" t="s">
        <v>36</v>
      </c>
      <c r="C26" s="1" t="s">
        <v>22</v>
      </c>
      <c r="D26" s="1" t="s">
        <v>22</v>
      </c>
      <c r="E26" s="1" t="s">
        <v>20</v>
      </c>
      <c r="F26" s="1" t="s">
        <v>21</v>
      </c>
      <c r="G26" s="1" t="s">
        <v>21</v>
      </c>
      <c r="H26" s="1" t="s">
        <v>383</v>
      </c>
      <c r="I26" s="1" t="s">
        <v>20</v>
      </c>
      <c r="J26" s="1" t="s">
        <v>367</v>
      </c>
      <c r="K26" s="1" t="s">
        <v>82</v>
      </c>
      <c r="L26" s="1" t="s">
        <v>379</v>
      </c>
      <c r="M26" s="1" t="s">
        <v>24</v>
      </c>
      <c r="N26" s="1" t="s">
        <v>24</v>
      </c>
      <c r="P26" s="3">
        <f t="shared" si="1"/>
        <v>0.725</v>
      </c>
      <c r="Q26" s="3">
        <f t="shared" si="2"/>
        <v>0.825</v>
      </c>
      <c r="R26" s="3">
        <f t="shared" si="3"/>
        <v>0.7125</v>
      </c>
      <c r="T26" s="3">
        <f t="shared" si="4"/>
        <v>0.58</v>
      </c>
      <c r="U26" s="3">
        <f t="shared" si="5"/>
        <v>1.32</v>
      </c>
      <c r="V26" s="3">
        <f t="shared" si="6"/>
        <v>0.228</v>
      </c>
    </row>
    <row r="27">
      <c r="A27" s="1" t="s">
        <v>401</v>
      </c>
      <c r="B27" s="1" t="s">
        <v>36</v>
      </c>
      <c r="C27" s="1" t="s">
        <v>21</v>
      </c>
      <c r="D27" s="1" t="s">
        <v>22</v>
      </c>
      <c r="E27" s="1" t="s">
        <v>21</v>
      </c>
      <c r="F27" s="1" t="s">
        <v>20</v>
      </c>
      <c r="G27" s="1" t="s">
        <v>22</v>
      </c>
      <c r="H27" s="1" t="s">
        <v>250</v>
      </c>
      <c r="I27" s="1" t="s">
        <v>42</v>
      </c>
      <c r="J27" s="1" t="s">
        <v>358</v>
      </c>
      <c r="K27" s="1" t="s">
        <v>82</v>
      </c>
      <c r="L27" s="1" t="s">
        <v>246</v>
      </c>
      <c r="M27" s="1" t="s">
        <v>206</v>
      </c>
      <c r="N27" s="1" t="s">
        <v>206</v>
      </c>
      <c r="P27" s="3">
        <f t="shared" si="1"/>
        <v>0.775</v>
      </c>
      <c r="Q27" s="3">
        <f t="shared" si="2"/>
        <v>0.675</v>
      </c>
      <c r="R27" s="3">
        <f t="shared" si="3"/>
        <v>0.9125</v>
      </c>
      <c r="T27" s="3">
        <f t="shared" si="4"/>
        <v>0.62</v>
      </c>
      <c r="U27" s="3">
        <f t="shared" si="5"/>
        <v>1.08</v>
      </c>
      <c r="V27" s="3">
        <f t="shared" si="6"/>
        <v>0.292</v>
      </c>
    </row>
    <row r="28">
      <c r="A28" s="1" t="s">
        <v>402</v>
      </c>
      <c r="B28" s="1" t="s">
        <v>36</v>
      </c>
      <c r="C28" s="1" t="s">
        <v>21</v>
      </c>
      <c r="D28" s="1" t="s">
        <v>22</v>
      </c>
      <c r="E28" s="1" t="s">
        <v>20</v>
      </c>
      <c r="F28" s="1" t="s">
        <v>21</v>
      </c>
      <c r="G28" s="1" t="s">
        <v>21</v>
      </c>
      <c r="H28" s="1" t="s">
        <v>53</v>
      </c>
      <c r="I28" s="1" t="s">
        <v>22</v>
      </c>
      <c r="J28" s="1" t="s">
        <v>403</v>
      </c>
      <c r="K28" s="1" t="s">
        <v>300</v>
      </c>
      <c r="L28" s="1" t="s">
        <v>276</v>
      </c>
      <c r="M28" s="1" t="s">
        <v>206</v>
      </c>
      <c r="N28" s="1" t="s">
        <v>24</v>
      </c>
      <c r="P28" s="3">
        <f t="shared" si="1"/>
        <v>0.625</v>
      </c>
      <c r="Q28" s="3">
        <f t="shared" si="2"/>
        <v>0.775</v>
      </c>
      <c r="R28" s="3">
        <f t="shared" si="3"/>
        <v>0.7625</v>
      </c>
      <c r="T28" s="3">
        <f t="shared" si="4"/>
        <v>0.5</v>
      </c>
      <c r="U28" s="3">
        <f t="shared" si="5"/>
        <v>1.24</v>
      </c>
      <c r="V28" s="3">
        <f t="shared" si="6"/>
        <v>0.244</v>
      </c>
    </row>
    <row r="29">
      <c r="A29" s="1" t="s">
        <v>404</v>
      </c>
      <c r="B29" s="1" t="s">
        <v>36</v>
      </c>
      <c r="C29" s="1" t="s">
        <v>24</v>
      </c>
      <c r="D29" s="1" t="s">
        <v>21</v>
      </c>
      <c r="E29" s="1" t="s">
        <v>22</v>
      </c>
      <c r="F29" s="1" t="s">
        <v>42</v>
      </c>
      <c r="G29" s="1" t="s">
        <v>42</v>
      </c>
      <c r="H29" s="1" t="s">
        <v>75</v>
      </c>
      <c r="I29" s="1" t="s">
        <v>42</v>
      </c>
      <c r="J29" s="1" t="s">
        <v>355</v>
      </c>
      <c r="K29" s="1" t="s">
        <v>43</v>
      </c>
      <c r="L29" s="1" t="s">
        <v>302</v>
      </c>
      <c r="M29" s="1" t="s">
        <v>24</v>
      </c>
      <c r="N29" s="1" t="s">
        <v>206</v>
      </c>
      <c r="P29" s="3">
        <f t="shared" si="1"/>
        <v>0.675</v>
      </c>
      <c r="Q29" s="3">
        <f t="shared" si="2"/>
        <v>0.7</v>
      </c>
      <c r="R29" s="3">
        <f t="shared" si="3"/>
        <v>0.9625</v>
      </c>
      <c r="T29" s="3">
        <f t="shared" si="4"/>
        <v>0.54</v>
      </c>
      <c r="U29" s="3">
        <f t="shared" si="5"/>
        <v>1.12</v>
      </c>
      <c r="V29" s="3">
        <f t="shared" si="6"/>
        <v>0.308</v>
      </c>
    </row>
    <row r="30">
      <c r="A30" s="1" t="s">
        <v>405</v>
      </c>
      <c r="B30" s="1" t="s">
        <v>36</v>
      </c>
      <c r="C30" s="1" t="s">
        <v>21</v>
      </c>
      <c r="D30" s="1" t="s">
        <v>22</v>
      </c>
      <c r="E30" s="1" t="s">
        <v>20</v>
      </c>
      <c r="F30" s="1" t="s">
        <v>22</v>
      </c>
      <c r="G30" s="1" t="s">
        <v>22</v>
      </c>
      <c r="H30" s="1" t="s">
        <v>406</v>
      </c>
      <c r="I30" s="1" t="s">
        <v>22</v>
      </c>
      <c r="J30" s="1" t="s">
        <v>375</v>
      </c>
      <c r="K30" s="1" t="s">
        <v>300</v>
      </c>
      <c r="L30" s="1" t="s">
        <v>253</v>
      </c>
      <c r="M30" s="1" t="s">
        <v>206</v>
      </c>
      <c r="N30" s="1" t="s">
        <v>24</v>
      </c>
      <c r="P30" s="3">
        <f t="shared" si="1"/>
        <v>0.775</v>
      </c>
      <c r="Q30" s="3">
        <f t="shared" si="2"/>
        <v>0.725</v>
      </c>
      <c r="R30" s="3">
        <f t="shared" si="3"/>
        <v>0.9625</v>
      </c>
      <c r="T30" s="3">
        <f t="shared" si="4"/>
        <v>0.62</v>
      </c>
      <c r="U30" s="3">
        <f t="shared" si="5"/>
        <v>1.16</v>
      </c>
      <c r="V30" s="3">
        <f t="shared" si="6"/>
        <v>0.308</v>
      </c>
    </row>
    <row r="31">
      <c r="A31" s="1" t="s">
        <v>407</v>
      </c>
      <c r="B31" s="1" t="s">
        <v>36</v>
      </c>
      <c r="C31" s="1" t="s">
        <v>20</v>
      </c>
      <c r="D31" s="1" t="s">
        <v>20</v>
      </c>
      <c r="E31" s="1" t="s">
        <v>21</v>
      </c>
      <c r="F31" s="1" t="s">
        <v>22</v>
      </c>
      <c r="G31" s="1" t="s">
        <v>21</v>
      </c>
      <c r="H31" s="1" t="s">
        <v>74</v>
      </c>
      <c r="I31" s="1" t="s">
        <v>42</v>
      </c>
      <c r="J31" s="1" t="s">
        <v>408</v>
      </c>
      <c r="K31" s="1" t="s">
        <v>74</v>
      </c>
      <c r="L31" s="1" t="s">
        <v>258</v>
      </c>
      <c r="M31" s="1" t="s">
        <v>24</v>
      </c>
      <c r="N31" s="1" t="s">
        <v>24</v>
      </c>
      <c r="P31" s="3">
        <f t="shared" si="1"/>
        <v>0.8625</v>
      </c>
      <c r="Q31" s="3">
        <f t="shared" si="2"/>
        <v>0.8125</v>
      </c>
      <c r="R31" s="3">
        <f t="shared" si="3"/>
        <v>0.85</v>
      </c>
      <c r="T31" s="3">
        <f t="shared" si="4"/>
        <v>0.69</v>
      </c>
      <c r="U31" s="3">
        <f t="shared" si="5"/>
        <v>1.3</v>
      </c>
      <c r="V31" s="3">
        <f t="shared" si="6"/>
        <v>0.272</v>
      </c>
    </row>
    <row r="32">
      <c r="A32" s="1" t="s">
        <v>409</v>
      </c>
      <c r="B32" s="1" t="s">
        <v>36</v>
      </c>
      <c r="C32" s="1" t="s">
        <v>21</v>
      </c>
      <c r="D32" s="1" t="s">
        <v>21</v>
      </c>
      <c r="E32" s="1" t="s">
        <v>21</v>
      </c>
      <c r="F32" s="1" t="s">
        <v>21</v>
      </c>
      <c r="G32" s="1" t="s">
        <v>21</v>
      </c>
      <c r="H32" s="1" t="s">
        <v>410</v>
      </c>
      <c r="I32" s="1" t="s">
        <v>42</v>
      </c>
      <c r="J32" s="1" t="s">
        <v>392</v>
      </c>
      <c r="K32" s="1" t="s">
        <v>82</v>
      </c>
      <c r="L32" s="1" t="s">
        <v>120</v>
      </c>
      <c r="M32" s="1" t="s">
        <v>206</v>
      </c>
      <c r="N32" s="1" t="s">
        <v>206</v>
      </c>
      <c r="P32" s="3">
        <f t="shared" si="1"/>
        <v>0.7125</v>
      </c>
      <c r="Q32" s="3">
        <f t="shared" si="2"/>
        <v>0.8125</v>
      </c>
      <c r="R32" s="3">
        <f t="shared" si="3"/>
        <v>0.75</v>
      </c>
      <c r="T32" s="3">
        <f t="shared" si="4"/>
        <v>0.57</v>
      </c>
      <c r="U32" s="3">
        <f t="shared" si="5"/>
        <v>1.3</v>
      </c>
      <c r="V32" s="3">
        <f t="shared" si="6"/>
        <v>0.24</v>
      </c>
    </row>
    <row r="33">
      <c r="A33" s="1" t="s">
        <v>411</v>
      </c>
      <c r="B33" s="1" t="s">
        <v>36</v>
      </c>
      <c r="C33" s="1" t="s">
        <v>21</v>
      </c>
      <c r="D33" s="1" t="s">
        <v>24</v>
      </c>
      <c r="E33" s="1" t="s">
        <v>22</v>
      </c>
      <c r="F33" s="1" t="s">
        <v>21</v>
      </c>
      <c r="G33" s="1" t="s">
        <v>22</v>
      </c>
      <c r="H33" s="1" t="s">
        <v>250</v>
      </c>
      <c r="I33" s="1" t="s">
        <v>42</v>
      </c>
      <c r="J33" s="1" t="s">
        <v>364</v>
      </c>
      <c r="K33" s="1" t="s">
        <v>82</v>
      </c>
      <c r="L33" s="1" t="s">
        <v>270</v>
      </c>
      <c r="M33" s="1" t="s">
        <v>24</v>
      </c>
      <c r="N33" s="1" t="s">
        <v>24</v>
      </c>
      <c r="P33" s="3">
        <f t="shared" si="1"/>
        <v>0.65</v>
      </c>
      <c r="Q33" s="3">
        <f t="shared" si="2"/>
        <v>0.875</v>
      </c>
      <c r="R33" s="3">
        <f t="shared" si="3"/>
        <v>0.8125</v>
      </c>
      <c r="T33" s="3">
        <f t="shared" si="4"/>
        <v>0.52</v>
      </c>
      <c r="U33" s="3">
        <f t="shared" si="5"/>
        <v>1.4</v>
      </c>
      <c r="V33" s="3">
        <f t="shared" si="6"/>
        <v>0.26</v>
      </c>
    </row>
    <row r="34">
      <c r="A34" s="1" t="s">
        <v>412</v>
      </c>
      <c r="B34" s="1" t="s">
        <v>36</v>
      </c>
      <c r="C34" s="1" t="s">
        <v>20</v>
      </c>
      <c r="D34" s="1" t="s">
        <v>21</v>
      </c>
      <c r="E34" s="1" t="s">
        <v>20</v>
      </c>
      <c r="F34" s="1" t="s">
        <v>20</v>
      </c>
      <c r="G34" s="1" t="s">
        <v>20</v>
      </c>
      <c r="H34" s="1" t="s">
        <v>74</v>
      </c>
      <c r="I34" s="1" t="s">
        <v>22</v>
      </c>
      <c r="J34" s="1" t="s">
        <v>413</v>
      </c>
      <c r="K34" s="1" t="s">
        <v>23</v>
      </c>
      <c r="L34" s="1" t="s">
        <v>17</v>
      </c>
      <c r="M34" s="1" t="s">
        <v>24</v>
      </c>
      <c r="N34" s="1" t="s">
        <v>24</v>
      </c>
      <c r="P34" s="3">
        <f t="shared" si="1"/>
        <v>0.8375</v>
      </c>
      <c r="Q34" s="3">
        <f t="shared" si="2"/>
        <v>0.9125</v>
      </c>
      <c r="R34" s="3">
        <f t="shared" si="3"/>
        <v>0.875</v>
      </c>
      <c r="T34" s="3">
        <f t="shared" si="4"/>
        <v>0.67</v>
      </c>
      <c r="U34" s="3">
        <f t="shared" si="5"/>
        <v>1.46</v>
      </c>
      <c r="V34" s="3">
        <f t="shared" si="6"/>
        <v>0.28</v>
      </c>
    </row>
    <row r="35">
      <c r="A35" s="1" t="s">
        <v>414</v>
      </c>
      <c r="B35" s="1" t="s">
        <v>36</v>
      </c>
      <c r="C35" s="1" t="s">
        <v>20</v>
      </c>
      <c r="D35" s="1" t="s">
        <v>20</v>
      </c>
      <c r="E35" s="1" t="s">
        <v>22</v>
      </c>
      <c r="F35" s="1" t="s">
        <v>20</v>
      </c>
      <c r="G35" s="1" t="s">
        <v>20</v>
      </c>
      <c r="H35" s="1" t="s">
        <v>83</v>
      </c>
      <c r="I35" s="1" t="s">
        <v>42</v>
      </c>
      <c r="J35" s="1" t="s">
        <v>415</v>
      </c>
      <c r="K35" s="1" t="s">
        <v>82</v>
      </c>
      <c r="L35" s="1" t="s">
        <v>150</v>
      </c>
      <c r="M35" s="1" t="s">
        <v>24</v>
      </c>
      <c r="N35" s="1" t="s">
        <v>206</v>
      </c>
      <c r="P35" s="3">
        <f t="shared" si="1"/>
        <v>0.7625</v>
      </c>
      <c r="Q35" s="3">
        <f t="shared" si="2"/>
        <v>0.9125</v>
      </c>
      <c r="R35" s="3">
        <f t="shared" si="3"/>
        <v>0.875</v>
      </c>
      <c r="T35" s="3">
        <f t="shared" si="4"/>
        <v>0.61</v>
      </c>
      <c r="U35" s="3">
        <f t="shared" si="5"/>
        <v>1.46</v>
      </c>
      <c r="V35" s="3">
        <f t="shared" si="6"/>
        <v>0.28</v>
      </c>
    </row>
    <row r="36">
      <c r="A36" s="1" t="s">
        <v>416</v>
      </c>
      <c r="B36" s="1" t="s">
        <v>36</v>
      </c>
      <c r="C36" s="1" t="s">
        <v>21</v>
      </c>
      <c r="D36" s="1" t="s">
        <v>21</v>
      </c>
      <c r="E36" s="1" t="s">
        <v>22</v>
      </c>
      <c r="F36" s="1" t="s">
        <v>24</v>
      </c>
      <c r="G36" s="1" t="s">
        <v>20</v>
      </c>
      <c r="H36" s="1" t="s">
        <v>153</v>
      </c>
      <c r="I36" s="1" t="s">
        <v>42</v>
      </c>
      <c r="J36" s="1" t="s">
        <v>417</v>
      </c>
      <c r="K36" s="1" t="s">
        <v>43</v>
      </c>
      <c r="L36" s="1" t="s">
        <v>111</v>
      </c>
      <c r="M36" s="1" t="s">
        <v>206</v>
      </c>
      <c r="N36" s="1" t="s">
        <v>24</v>
      </c>
      <c r="P36" s="3">
        <f t="shared" si="1"/>
        <v>0.5625</v>
      </c>
      <c r="Q36" s="3">
        <f t="shared" si="2"/>
        <v>0.8625</v>
      </c>
      <c r="R36" s="3">
        <f t="shared" si="3"/>
        <v>0.725</v>
      </c>
      <c r="T36" s="3">
        <f t="shared" si="4"/>
        <v>0.45</v>
      </c>
      <c r="U36" s="3">
        <f t="shared" si="5"/>
        <v>1.38</v>
      </c>
      <c r="V36" s="3">
        <f t="shared" si="6"/>
        <v>0.232</v>
      </c>
    </row>
    <row r="37">
      <c r="A37" s="1" t="s">
        <v>418</v>
      </c>
      <c r="B37" s="1" t="s">
        <v>36</v>
      </c>
      <c r="C37" s="1" t="s">
        <v>21</v>
      </c>
      <c r="D37" s="1" t="s">
        <v>20</v>
      </c>
      <c r="E37" s="1" t="s">
        <v>24</v>
      </c>
      <c r="F37" s="1" t="s">
        <v>22</v>
      </c>
      <c r="G37" s="1" t="s">
        <v>20</v>
      </c>
      <c r="H37" s="1" t="s">
        <v>33</v>
      </c>
      <c r="I37" s="1" t="s">
        <v>42</v>
      </c>
      <c r="J37" s="1" t="s">
        <v>375</v>
      </c>
      <c r="K37" s="1" t="s">
        <v>82</v>
      </c>
      <c r="L37" s="1" t="s">
        <v>379</v>
      </c>
      <c r="M37" s="1" t="s">
        <v>24</v>
      </c>
      <c r="N37" s="1" t="s">
        <v>24</v>
      </c>
      <c r="P37" s="3">
        <f t="shared" si="1"/>
        <v>0.85</v>
      </c>
      <c r="Q37" s="3">
        <f t="shared" si="2"/>
        <v>0.675</v>
      </c>
      <c r="R37" s="3">
        <f t="shared" si="3"/>
        <v>0.8875</v>
      </c>
      <c r="T37" s="3">
        <f t="shared" si="4"/>
        <v>0.68</v>
      </c>
      <c r="U37" s="3">
        <f t="shared" si="5"/>
        <v>1.08</v>
      </c>
      <c r="V37" s="3">
        <f t="shared" si="6"/>
        <v>0.284</v>
      </c>
    </row>
    <row r="38">
      <c r="A38" s="1" t="s">
        <v>419</v>
      </c>
      <c r="B38" s="1" t="s">
        <v>36</v>
      </c>
      <c r="C38" s="1" t="s">
        <v>22</v>
      </c>
      <c r="D38" s="1" t="s">
        <v>24</v>
      </c>
      <c r="E38" s="1" t="s">
        <v>20</v>
      </c>
      <c r="F38" s="1" t="s">
        <v>42</v>
      </c>
      <c r="G38" s="1" t="s">
        <v>20</v>
      </c>
      <c r="H38" s="1" t="s">
        <v>420</v>
      </c>
      <c r="I38" s="1" t="s">
        <v>20</v>
      </c>
      <c r="J38" s="1" t="s">
        <v>367</v>
      </c>
      <c r="K38" s="1" t="s">
        <v>300</v>
      </c>
      <c r="L38" s="1" t="s">
        <v>102</v>
      </c>
      <c r="M38" s="1" t="s">
        <v>24</v>
      </c>
      <c r="N38" s="1" t="s">
        <v>24</v>
      </c>
      <c r="P38" s="3">
        <f t="shared" si="1"/>
        <v>0.9125</v>
      </c>
      <c r="Q38" s="3">
        <f t="shared" si="2"/>
        <v>0.8875</v>
      </c>
      <c r="R38" s="3">
        <f t="shared" si="3"/>
        <v>0.85</v>
      </c>
      <c r="T38" s="3">
        <f t="shared" si="4"/>
        <v>0.73</v>
      </c>
      <c r="U38" s="3">
        <f t="shared" si="5"/>
        <v>1.42</v>
      </c>
      <c r="V38" s="3">
        <f t="shared" si="6"/>
        <v>0.272</v>
      </c>
    </row>
    <row r="39">
      <c r="A39" s="1" t="s">
        <v>421</v>
      </c>
      <c r="B39" s="1" t="s">
        <v>36</v>
      </c>
      <c r="C39" s="1" t="s">
        <v>22</v>
      </c>
      <c r="D39" s="1" t="s">
        <v>24</v>
      </c>
      <c r="E39" s="1" t="s">
        <v>24</v>
      </c>
      <c r="F39" s="1" t="s">
        <v>42</v>
      </c>
      <c r="G39" s="1" t="s">
        <v>24</v>
      </c>
      <c r="H39" s="1" t="s">
        <v>33</v>
      </c>
      <c r="I39" s="1" t="s">
        <v>22</v>
      </c>
      <c r="J39" s="1" t="s">
        <v>364</v>
      </c>
      <c r="K39" s="1" t="s">
        <v>82</v>
      </c>
      <c r="L39" s="1" t="s">
        <v>258</v>
      </c>
      <c r="M39" s="1" t="s">
        <v>206</v>
      </c>
      <c r="N39" s="1" t="s">
        <v>24</v>
      </c>
      <c r="P39" s="3">
        <f t="shared" si="1"/>
        <v>0.8625</v>
      </c>
      <c r="Q39" s="3">
        <f t="shared" si="2"/>
        <v>0.7375</v>
      </c>
      <c r="R39" s="3">
        <f t="shared" si="3"/>
        <v>0.65</v>
      </c>
      <c r="T39" s="3">
        <f t="shared" si="4"/>
        <v>0.69</v>
      </c>
      <c r="U39" s="3">
        <f t="shared" si="5"/>
        <v>1.18</v>
      </c>
      <c r="V39" s="3">
        <f t="shared" si="6"/>
        <v>0.208</v>
      </c>
    </row>
    <row r="40">
      <c r="A40" s="1" t="s">
        <v>422</v>
      </c>
      <c r="B40" s="1" t="s">
        <v>36</v>
      </c>
      <c r="C40" s="1" t="s">
        <v>42</v>
      </c>
      <c r="D40" s="1" t="s">
        <v>21</v>
      </c>
      <c r="E40" s="1" t="s">
        <v>20</v>
      </c>
      <c r="F40" s="1" t="s">
        <v>20</v>
      </c>
      <c r="G40" s="1" t="s">
        <v>24</v>
      </c>
      <c r="H40" s="1" t="s">
        <v>107</v>
      </c>
      <c r="I40" s="1" t="s">
        <v>22</v>
      </c>
      <c r="J40" s="1" t="s">
        <v>364</v>
      </c>
      <c r="K40" s="1" t="s">
        <v>82</v>
      </c>
      <c r="L40" s="1" t="s">
        <v>30</v>
      </c>
      <c r="M40" s="1" t="s">
        <v>206</v>
      </c>
      <c r="N40" s="1" t="s">
        <v>206</v>
      </c>
      <c r="P40" s="3">
        <f t="shared" si="1"/>
        <v>0.7875</v>
      </c>
      <c r="Q40" s="3">
        <f t="shared" si="2"/>
        <v>0.9125</v>
      </c>
      <c r="R40" s="3">
        <f t="shared" si="3"/>
        <v>0.625</v>
      </c>
      <c r="T40" s="3">
        <f t="shared" si="4"/>
        <v>0.63</v>
      </c>
      <c r="U40" s="3">
        <f t="shared" si="5"/>
        <v>1.46</v>
      </c>
      <c r="V40" s="3">
        <f t="shared" si="6"/>
        <v>0.2</v>
      </c>
    </row>
    <row r="41">
      <c r="A41" s="1" t="s">
        <v>423</v>
      </c>
      <c r="B41" s="1" t="s">
        <v>36</v>
      </c>
      <c r="C41" s="1" t="s">
        <v>22</v>
      </c>
      <c r="D41" s="1" t="s">
        <v>20</v>
      </c>
      <c r="E41" s="1" t="s">
        <v>20</v>
      </c>
      <c r="F41" s="1" t="s">
        <v>20</v>
      </c>
      <c r="G41" s="1" t="s">
        <v>24</v>
      </c>
      <c r="H41" s="1" t="s">
        <v>266</v>
      </c>
      <c r="I41" s="1" t="s">
        <v>22</v>
      </c>
      <c r="J41" s="1" t="s">
        <v>389</v>
      </c>
      <c r="K41" s="1" t="s">
        <v>82</v>
      </c>
      <c r="L41" s="1" t="s">
        <v>177</v>
      </c>
      <c r="M41" s="1" t="s">
        <v>24</v>
      </c>
      <c r="N41" s="1" t="s">
        <v>24</v>
      </c>
      <c r="P41" s="3">
        <f t="shared" si="1"/>
        <v>0.7625</v>
      </c>
      <c r="Q41" s="3">
        <f t="shared" si="2"/>
        <v>0.8875</v>
      </c>
      <c r="R41" s="3">
        <f t="shared" si="3"/>
        <v>0.7</v>
      </c>
      <c r="T41" s="3">
        <f t="shared" si="4"/>
        <v>0.61</v>
      </c>
      <c r="U41" s="3">
        <f t="shared" si="5"/>
        <v>1.42</v>
      </c>
      <c r="V41" s="3">
        <f t="shared" si="6"/>
        <v>0.224</v>
      </c>
    </row>
    <row r="42">
      <c r="A42" s="1" t="s">
        <v>424</v>
      </c>
      <c r="B42" s="1" t="s">
        <v>36</v>
      </c>
      <c r="C42" s="1" t="s">
        <v>20</v>
      </c>
      <c r="D42" s="1" t="s">
        <v>20</v>
      </c>
      <c r="E42" s="1" t="s">
        <v>24</v>
      </c>
      <c r="F42" s="1" t="s">
        <v>20</v>
      </c>
      <c r="G42" s="1" t="s">
        <v>20</v>
      </c>
      <c r="H42" s="1" t="s">
        <v>366</v>
      </c>
      <c r="I42" s="1" t="s">
        <v>21</v>
      </c>
      <c r="J42" s="1" t="s">
        <v>425</v>
      </c>
      <c r="K42" s="1" t="s">
        <v>300</v>
      </c>
      <c r="L42" s="1" t="s">
        <v>120</v>
      </c>
      <c r="M42" s="1" t="s">
        <v>206</v>
      </c>
      <c r="N42" s="1" t="s">
        <v>206</v>
      </c>
      <c r="P42" s="3">
        <f t="shared" si="1"/>
        <v>0.875</v>
      </c>
      <c r="Q42" s="3">
        <f t="shared" si="2"/>
        <v>0.725</v>
      </c>
      <c r="R42" s="3">
        <f t="shared" si="3"/>
        <v>0.8375</v>
      </c>
      <c r="T42" s="3">
        <f t="shared" si="4"/>
        <v>0.7</v>
      </c>
      <c r="U42" s="3">
        <f t="shared" si="5"/>
        <v>1.16</v>
      </c>
      <c r="V42" s="3">
        <f t="shared" si="6"/>
        <v>0.268</v>
      </c>
    </row>
    <row r="43">
      <c r="A43" s="1" t="s">
        <v>426</v>
      </c>
      <c r="B43" s="1" t="s">
        <v>27</v>
      </c>
      <c r="C43" s="1" t="s">
        <v>20</v>
      </c>
      <c r="D43" s="1" t="s">
        <v>20</v>
      </c>
      <c r="E43" s="1" t="s">
        <v>20</v>
      </c>
      <c r="F43" s="1" t="s">
        <v>21</v>
      </c>
      <c r="G43" s="1" t="s">
        <v>20</v>
      </c>
      <c r="H43" s="1" t="s">
        <v>388</v>
      </c>
      <c r="I43" s="1" t="s">
        <v>20</v>
      </c>
      <c r="J43" s="1" t="s">
        <v>427</v>
      </c>
      <c r="K43" s="1" t="s">
        <v>43</v>
      </c>
      <c r="L43" s="1" t="s">
        <v>246</v>
      </c>
      <c r="M43" s="1" t="s">
        <v>206</v>
      </c>
      <c r="N43" s="1" t="s">
        <v>24</v>
      </c>
      <c r="P43" s="3">
        <f t="shared" si="1"/>
        <v>0.7625</v>
      </c>
      <c r="Q43" s="3">
        <f t="shared" si="2"/>
        <v>0.8625</v>
      </c>
      <c r="R43" s="3">
        <f t="shared" si="3"/>
        <v>0.825</v>
      </c>
      <c r="T43" s="3">
        <f t="shared" si="4"/>
        <v>0.61</v>
      </c>
      <c r="U43" s="3">
        <f t="shared" si="5"/>
        <v>1.38</v>
      </c>
      <c r="V43" s="3">
        <f t="shared" si="6"/>
        <v>0.264</v>
      </c>
    </row>
    <row r="44">
      <c r="A44" s="1" t="s">
        <v>428</v>
      </c>
      <c r="B44" s="1" t="s">
        <v>27</v>
      </c>
      <c r="C44" s="1" t="s">
        <v>22</v>
      </c>
      <c r="D44" s="1" t="s">
        <v>24</v>
      </c>
      <c r="E44" s="1" t="s">
        <v>42</v>
      </c>
      <c r="F44" s="1" t="s">
        <v>20</v>
      </c>
      <c r="G44" s="1" t="s">
        <v>22</v>
      </c>
      <c r="H44" s="1" t="s">
        <v>90</v>
      </c>
      <c r="I44" s="1" t="s">
        <v>20</v>
      </c>
      <c r="J44" s="1" t="s">
        <v>413</v>
      </c>
      <c r="K44" s="1" t="s">
        <v>82</v>
      </c>
      <c r="L44" s="1" t="s">
        <v>284</v>
      </c>
      <c r="M44" s="1" t="s">
        <v>24</v>
      </c>
      <c r="N44" s="1" t="s">
        <v>24</v>
      </c>
      <c r="P44" s="3">
        <f t="shared" si="1"/>
        <v>0.725</v>
      </c>
      <c r="Q44" s="3">
        <f t="shared" si="2"/>
        <v>0.95</v>
      </c>
      <c r="R44" s="3">
        <f t="shared" si="3"/>
        <v>0.7875</v>
      </c>
      <c r="T44" s="3">
        <f t="shared" si="4"/>
        <v>0.58</v>
      </c>
      <c r="U44" s="3">
        <f t="shared" si="5"/>
        <v>1.52</v>
      </c>
      <c r="V44" s="3">
        <f t="shared" si="6"/>
        <v>0.252</v>
      </c>
    </row>
    <row r="45">
      <c r="A45" s="1" t="s">
        <v>429</v>
      </c>
      <c r="B45" s="1" t="s">
        <v>27</v>
      </c>
      <c r="C45" s="1" t="s">
        <v>22</v>
      </c>
      <c r="D45" s="1" t="s">
        <v>20</v>
      </c>
      <c r="E45" s="1" t="s">
        <v>20</v>
      </c>
      <c r="F45" s="1" t="s">
        <v>20</v>
      </c>
      <c r="G45" s="1" t="s">
        <v>21</v>
      </c>
      <c r="H45" s="1" t="s">
        <v>430</v>
      </c>
      <c r="I45" s="1" t="s">
        <v>42</v>
      </c>
      <c r="J45" s="1" t="s">
        <v>415</v>
      </c>
      <c r="K45" s="1" t="s">
        <v>23</v>
      </c>
      <c r="L45" s="1" t="s">
        <v>64</v>
      </c>
      <c r="M45" s="1" t="s">
        <v>206</v>
      </c>
      <c r="N45" s="1" t="s">
        <v>206</v>
      </c>
      <c r="P45" s="3">
        <f t="shared" si="1"/>
        <v>0.825</v>
      </c>
      <c r="Q45" s="3">
        <f t="shared" si="2"/>
        <v>0.9</v>
      </c>
      <c r="R45" s="3">
        <f t="shared" si="3"/>
        <v>0.7875</v>
      </c>
      <c r="T45" s="3">
        <f t="shared" si="4"/>
        <v>0.66</v>
      </c>
      <c r="U45" s="3">
        <f t="shared" si="5"/>
        <v>1.44</v>
      </c>
      <c r="V45" s="3">
        <f t="shared" si="6"/>
        <v>0.252</v>
      </c>
    </row>
    <row r="46">
      <c r="A46" s="1" t="s">
        <v>431</v>
      </c>
      <c r="B46" s="1" t="s">
        <v>27</v>
      </c>
      <c r="C46" s="1" t="s">
        <v>42</v>
      </c>
      <c r="D46" s="1" t="s">
        <v>21</v>
      </c>
      <c r="E46" s="1" t="s">
        <v>20</v>
      </c>
      <c r="F46" s="1" t="s">
        <v>42</v>
      </c>
      <c r="G46" s="1" t="s">
        <v>24</v>
      </c>
      <c r="H46" s="1" t="s">
        <v>33</v>
      </c>
      <c r="I46" s="1" t="s">
        <v>22</v>
      </c>
      <c r="J46" s="1" t="s">
        <v>381</v>
      </c>
      <c r="K46" s="1" t="s">
        <v>23</v>
      </c>
      <c r="L46" s="1" t="s">
        <v>30</v>
      </c>
      <c r="M46" s="1" t="s">
        <v>24</v>
      </c>
      <c r="N46" s="1" t="s">
        <v>24</v>
      </c>
      <c r="P46" s="3">
        <f t="shared" si="1"/>
        <v>0.8375</v>
      </c>
      <c r="Q46" s="3">
        <f t="shared" si="2"/>
        <v>0.8625</v>
      </c>
      <c r="R46" s="3">
        <f t="shared" si="3"/>
        <v>0.675</v>
      </c>
      <c r="T46" s="3">
        <f t="shared" si="4"/>
        <v>0.67</v>
      </c>
      <c r="U46" s="3">
        <f t="shared" si="5"/>
        <v>1.38</v>
      </c>
      <c r="V46" s="3">
        <f t="shared" si="6"/>
        <v>0.216</v>
      </c>
    </row>
    <row r="47">
      <c r="A47" s="1" t="s">
        <v>432</v>
      </c>
      <c r="B47" s="1" t="s">
        <v>27</v>
      </c>
      <c r="C47" s="1" t="s">
        <v>22</v>
      </c>
      <c r="D47" s="1" t="s">
        <v>24</v>
      </c>
      <c r="E47" s="1" t="s">
        <v>24</v>
      </c>
      <c r="F47" s="1" t="s">
        <v>20</v>
      </c>
      <c r="G47" s="1" t="s">
        <v>21</v>
      </c>
      <c r="H47" s="1" t="s">
        <v>430</v>
      </c>
      <c r="I47" s="1" t="s">
        <v>20</v>
      </c>
      <c r="J47" s="1" t="s">
        <v>433</v>
      </c>
      <c r="K47" s="1" t="s">
        <v>43</v>
      </c>
      <c r="L47" s="1" t="s">
        <v>64</v>
      </c>
      <c r="M47" s="1" t="s">
        <v>206</v>
      </c>
      <c r="N47" s="1" t="s">
        <v>206</v>
      </c>
      <c r="P47" s="3">
        <f t="shared" si="1"/>
        <v>0.875</v>
      </c>
      <c r="Q47" s="3">
        <f t="shared" si="2"/>
        <v>0.8</v>
      </c>
      <c r="R47" s="3">
        <f t="shared" si="3"/>
        <v>0.6875</v>
      </c>
      <c r="T47" s="3">
        <f t="shared" si="4"/>
        <v>0.7</v>
      </c>
      <c r="U47" s="3">
        <f t="shared" si="5"/>
        <v>1.28</v>
      </c>
      <c r="V47" s="3">
        <f t="shared" si="6"/>
        <v>0.22</v>
      </c>
    </row>
    <row r="48">
      <c r="A48" s="1" t="s">
        <v>434</v>
      </c>
      <c r="B48" s="1" t="s">
        <v>27</v>
      </c>
      <c r="C48" s="1" t="s">
        <v>20</v>
      </c>
      <c r="D48" s="1" t="s">
        <v>21</v>
      </c>
      <c r="E48" s="1" t="s">
        <v>21</v>
      </c>
      <c r="F48" s="1" t="s">
        <v>42</v>
      </c>
      <c r="G48" s="1" t="s">
        <v>22</v>
      </c>
      <c r="H48" s="1" t="s">
        <v>383</v>
      </c>
      <c r="I48" s="1" t="s">
        <v>22</v>
      </c>
      <c r="J48" s="1" t="s">
        <v>433</v>
      </c>
      <c r="K48" s="1" t="s">
        <v>43</v>
      </c>
      <c r="L48" s="1" t="s">
        <v>30</v>
      </c>
      <c r="M48" s="1" t="s">
        <v>206</v>
      </c>
      <c r="N48" s="1" t="s">
        <v>206</v>
      </c>
      <c r="P48" s="3">
        <f t="shared" si="1"/>
        <v>0.9375</v>
      </c>
      <c r="Q48" s="3">
        <f t="shared" si="2"/>
        <v>0.7625</v>
      </c>
      <c r="R48" s="3">
        <f t="shared" si="3"/>
        <v>0.95</v>
      </c>
      <c r="T48" s="3">
        <f t="shared" si="4"/>
        <v>0.75</v>
      </c>
      <c r="U48" s="3">
        <f t="shared" si="5"/>
        <v>1.22</v>
      </c>
      <c r="V48" s="3">
        <f t="shared" si="6"/>
        <v>0.304</v>
      </c>
    </row>
    <row r="49">
      <c r="A49" s="1" t="s">
        <v>435</v>
      </c>
      <c r="B49" s="1" t="s">
        <v>27</v>
      </c>
      <c r="C49" s="1" t="s">
        <v>24</v>
      </c>
      <c r="D49" s="1" t="s">
        <v>20</v>
      </c>
      <c r="E49" s="1" t="s">
        <v>21</v>
      </c>
      <c r="F49" s="1" t="s">
        <v>20</v>
      </c>
      <c r="G49" s="1" t="s">
        <v>21</v>
      </c>
      <c r="H49" s="1" t="s">
        <v>357</v>
      </c>
      <c r="I49" s="1" t="s">
        <v>42</v>
      </c>
      <c r="J49" s="1" t="s">
        <v>360</v>
      </c>
      <c r="K49" s="1" t="s">
        <v>82</v>
      </c>
      <c r="L49" s="1" t="s">
        <v>258</v>
      </c>
      <c r="M49" s="1" t="s">
        <v>206</v>
      </c>
      <c r="N49" s="1" t="s">
        <v>206</v>
      </c>
      <c r="P49" s="3">
        <f t="shared" si="1"/>
        <v>0.675</v>
      </c>
      <c r="Q49" s="3">
        <f t="shared" si="2"/>
        <v>0.725</v>
      </c>
      <c r="R49" s="3">
        <f t="shared" si="3"/>
        <v>0.8125</v>
      </c>
      <c r="T49" s="3">
        <f t="shared" si="4"/>
        <v>0.54</v>
      </c>
      <c r="U49" s="3">
        <f t="shared" si="5"/>
        <v>1.16</v>
      </c>
      <c r="V49" s="3">
        <f t="shared" si="6"/>
        <v>0.26</v>
      </c>
    </row>
    <row r="50">
      <c r="A50" s="1" t="s">
        <v>436</v>
      </c>
      <c r="B50" s="1" t="s">
        <v>27</v>
      </c>
      <c r="C50" s="1" t="s">
        <v>20</v>
      </c>
      <c r="D50" s="1" t="s">
        <v>22</v>
      </c>
      <c r="E50" s="1" t="s">
        <v>20</v>
      </c>
      <c r="F50" s="1" t="s">
        <v>20</v>
      </c>
      <c r="G50" s="1" t="s">
        <v>20</v>
      </c>
      <c r="H50" s="1" t="s">
        <v>266</v>
      </c>
      <c r="I50" s="1" t="s">
        <v>22</v>
      </c>
      <c r="J50" s="1" t="s">
        <v>362</v>
      </c>
      <c r="K50" s="1" t="s">
        <v>300</v>
      </c>
      <c r="L50" s="1" t="s">
        <v>64</v>
      </c>
      <c r="M50" s="1" t="s">
        <v>24</v>
      </c>
      <c r="N50" s="1" t="s">
        <v>24</v>
      </c>
      <c r="P50" s="3">
        <f t="shared" si="1"/>
        <v>0.7875</v>
      </c>
      <c r="Q50" s="3">
        <f t="shared" si="2"/>
        <v>0.8125</v>
      </c>
      <c r="R50" s="3">
        <f t="shared" si="3"/>
        <v>0.875</v>
      </c>
      <c r="T50" s="3">
        <f t="shared" si="4"/>
        <v>0.63</v>
      </c>
      <c r="U50" s="3">
        <f t="shared" si="5"/>
        <v>1.3</v>
      </c>
      <c r="V50" s="3">
        <f t="shared" si="6"/>
        <v>0.28</v>
      </c>
    </row>
    <row r="51">
      <c r="A51" s="1" t="s">
        <v>437</v>
      </c>
      <c r="B51" s="1" t="s">
        <v>27</v>
      </c>
      <c r="C51" s="1" t="s">
        <v>22</v>
      </c>
      <c r="D51" s="1" t="s">
        <v>24</v>
      </c>
      <c r="E51" s="1" t="s">
        <v>21</v>
      </c>
      <c r="F51" s="1" t="s">
        <v>42</v>
      </c>
      <c r="G51" s="1" t="s">
        <v>21</v>
      </c>
      <c r="H51" s="1" t="s">
        <v>160</v>
      </c>
      <c r="I51" s="1" t="s">
        <v>22</v>
      </c>
      <c r="J51" s="1" t="s">
        <v>360</v>
      </c>
      <c r="K51" s="1" t="s">
        <v>43</v>
      </c>
      <c r="L51" s="1" t="s">
        <v>30</v>
      </c>
      <c r="M51" s="1" t="s">
        <v>206</v>
      </c>
      <c r="N51" s="1" t="s">
        <v>206</v>
      </c>
      <c r="P51" s="3">
        <f t="shared" si="1"/>
        <v>0.9125</v>
      </c>
      <c r="Q51" s="3">
        <f t="shared" si="2"/>
        <v>0.8375</v>
      </c>
      <c r="R51" s="3">
        <f t="shared" si="3"/>
        <v>0.775</v>
      </c>
      <c r="T51" s="3">
        <f t="shared" si="4"/>
        <v>0.73</v>
      </c>
      <c r="U51" s="3">
        <f t="shared" si="5"/>
        <v>1.34</v>
      </c>
      <c r="V51" s="3">
        <f t="shared" si="6"/>
        <v>0.248</v>
      </c>
    </row>
    <row r="52">
      <c r="A52" s="1" t="s">
        <v>438</v>
      </c>
      <c r="B52" s="1" t="s">
        <v>27</v>
      </c>
      <c r="C52" s="1" t="s">
        <v>21</v>
      </c>
      <c r="D52" s="1" t="s">
        <v>22</v>
      </c>
      <c r="E52" s="1" t="s">
        <v>21</v>
      </c>
      <c r="F52" s="1" t="s">
        <v>22</v>
      </c>
      <c r="G52" s="1" t="s">
        <v>22</v>
      </c>
      <c r="H52" s="1" t="s">
        <v>439</v>
      </c>
      <c r="I52" s="1" t="s">
        <v>42</v>
      </c>
      <c r="J52" s="1" t="s">
        <v>433</v>
      </c>
      <c r="K52" s="1" t="s">
        <v>43</v>
      </c>
      <c r="L52" s="1" t="s">
        <v>246</v>
      </c>
      <c r="M52" s="1" t="s">
        <v>206</v>
      </c>
      <c r="N52" s="1" t="s">
        <v>206</v>
      </c>
      <c r="P52" s="3">
        <f t="shared" si="1"/>
        <v>0.8125</v>
      </c>
      <c r="Q52" s="3">
        <f t="shared" si="2"/>
        <v>0.6625</v>
      </c>
      <c r="R52" s="3">
        <f t="shared" si="3"/>
        <v>0.95</v>
      </c>
      <c r="T52" s="3">
        <f t="shared" si="4"/>
        <v>0.65</v>
      </c>
      <c r="U52" s="3">
        <f t="shared" si="5"/>
        <v>1.06</v>
      </c>
      <c r="V52" s="3">
        <f t="shared" si="6"/>
        <v>0.304</v>
      </c>
    </row>
    <row r="53">
      <c r="A53" s="1" t="s">
        <v>440</v>
      </c>
      <c r="B53" s="1" t="s">
        <v>27</v>
      </c>
      <c r="C53" s="1" t="s">
        <v>42</v>
      </c>
      <c r="D53" s="1" t="s">
        <v>21</v>
      </c>
      <c r="E53" s="1" t="s">
        <v>24</v>
      </c>
      <c r="F53" s="1" t="s">
        <v>22</v>
      </c>
      <c r="G53" s="1" t="s">
        <v>21</v>
      </c>
      <c r="H53" s="1" t="s">
        <v>107</v>
      </c>
      <c r="I53" s="1" t="s">
        <v>20</v>
      </c>
      <c r="J53" s="1" t="s">
        <v>413</v>
      </c>
      <c r="K53" s="1" t="s">
        <v>74</v>
      </c>
      <c r="L53" s="1" t="s">
        <v>379</v>
      </c>
      <c r="M53" s="1" t="s">
        <v>24</v>
      </c>
      <c r="N53" s="1" t="s">
        <v>24</v>
      </c>
      <c r="P53" s="3">
        <f t="shared" si="1"/>
        <v>0.9375</v>
      </c>
      <c r="Q53" s="3">
        <f t="shared" si="2"/>
        <v>0.7625</v>
      </c>
      <c r="R53" s="3">
        <f t="shared" si="3"/>
        <v>0.7</v>
      </c>
      <c r="T53" s="3">
        <f t="shared" si="4"/>
        <v>0.75</v>
      </c>
      <c r="U53" s="3">
        <f t="shared" si="5"/>
        <v>1.22</v>
      </c>
      <c r="V53" s="3">
        <f t="shared" si="6"/>
        <v>0.224</v>
      </c>
    </row>
    <row r="54">
      <c r="A54" s="1" t="s">
        <v>441</v>
      </c>
      <c r="B54" s="1" t="s">
        <v>27</v>
      </c>
      <c r="C54" s="1" t="s">
        <v>21</v>
      </c>
      <c r="D54" s="1" t="s">
        <v>21</v>
      </c>
      <c r="E54" s="1" t="s">
        <v>21</v>
      </c>
      <c r="F54" s="1" t="s">
        <v>22</v>
      </c>
      <c r="G54" s="1" t="s">
        <v>21</v>
      </c>
      <c r="H54" s="1" t="s">
        <v>139</v>
      </c>
      <c r="I54" s="1" t="s">
        <v>42</v>
      </c>
      <c r="J54" s="1" t="s">
        <v>408</v>
      </c>
      <c r="K54" s="1" t="s">
        <v>300</v>
      </c>
      <c r="L54" s="1" t="s">
        <v>258</v>
      </c>
      <c r="M54" s="1" t="s">
        <v>24</v>
      </c>
      <c r="N54" s="1" t="s">
        <v>24</v>
      </c>
      <c r="P54" s="3">
        <f t="shared" si="1"/>
        <v>0.8125</v>
      </c>
      <c r="Q54" s="3">
        <f t="shared" si="2"/>
        <v>0.8125</v>
      </c>
      <c r="R54" s="3">
        <f t="shared" si="3"/>
        <v>0.85</v>
      </c>
      <c r="T54" s="3">
        <f t="shared" si="4"/>
        <v>0.65</v>
      </c>
      <c r="U54" s="3">
        <f t="shared" si="5"/>
        <v>1.3</v>
      </c>
      <c r="V54" s="3">
        <f t="shared" si="6"/>
        <v>0.272</v>
      </c>
    </row>
    <row r="55">
      <c r="A55" s="1" t="s">
        <v>442</v>
      </c>
      <c r="B55" s="1" t="s">
        <v>27</v>
      </c>
      <c r="C55" s="1" t="s">
        <v>22</v>
      </c>
      <c r="D55" s="1" t="s">
        <v>20</v>
      </c>
      <c r="E55" s="1" t="s">
        <v>21</v>
      </c>
      <c r="F55" s="1" t="s">
        <v>21</v>
      </c>
      <c r="G55" s="1" t="s">
        <v>21</v>
      </c>
      <c r="H55" s="1" t="s">
        <v>378</v>
      </c>
      <c r="I55" s="1" t="s">
        <v>22</v>
      </c>
      <c r="J55" s="1" t="s">
        <v>415</v>
      </c>
      <c r="K55" s="1" t="s">
        <v>300</v>
      </c>
      <c r="L55" s="1" t="s">
        <v>258</v>
      </c>
      <c r="M55" s="1" t="s">
        <v>206</v>
      </c>
      <c r="N55" s="1" t="s">
        <v>24</v>
      </c>
      <c r="P55" s="3">
        <f t="shared" si="1"/>
        <v>0.8</v>
      </c>
      <c r="Q55" s="3">
        <f t="shared" si="2"/>
        <v>0.825</v>
      </c>
      <c r="R55" s="3">
        <f t="shared" si="3"/>
        <v>0.7125</v>
      </c>
      <c r="T55" s="3">
        <f t="shared" si="4"/>
        <v>0.64</v>
      </c>
      <c r="U55" s="3">
        <f t="shared" si="5"/>
        <v>1.32</v>
      </c>
      <c r="V55" s="3">
        <f t="shared" si="6"/>
        <v>0.228</v>
      </c>
    </row>
    <row r="56">
      <c r="A56" s="1" t="s">
        <v>443</v>
      </c>
      <c r="B56" s="1" t="s">
        <v>27</v>
      </c>
      <c r="C56" s="1" t="s">
        <v>21</v>
      </c>
      <c r="D56" s="1" t="s">
        <v>22</v>
      </c>
      <c r="E56" s="1" t="s">
        <v>20</v>
      </c>
      <c r="F56" s="1" t="s">
        <v>22</v>
      </c>
      <c r="G56" s="1" t="s">
        <v>42</v>
      </c>
      <c r="H56" s="1" t="s">
        <v>239</v>
      </c>
      <c r="I56" s="1" t="s">
        <v>42</v>
      </c>
      <c r="J56" s="1" t="s">
        <v>358</v>
      </c>
      <c r="K56" s="1" t="s">
        <v>23</v>
      </c>
      <c r="L56" s="1" t="s">
        <v>302</v>
      </c>
      <c r="M56" s="1" t="s">
        <v>24</v>
      </c>
      <c r="N56" s="1" t="s">
        <v>24</v>
      </c>
      <c r="P56" s="3">
        <f t="shared" si="1"/>
        <v>0.7625</v>
      </c>
      <c r="Q56" s="3">
        <f t="shared" si="2"/>
        <v>0.6625</v>
      </c>
      <c r="R56" s="3">
        <f t="shared" si="3"/>
        <v>0.975</v>
      </c>
      <c r="T56" s="3">
        <f t="shared" si="4"/>
        <v>0.61</v>
      </c>
      <c r="U56" s="3">
        <f t="shared" si="5"/>
        <v>1.06</v>
      </c>
      <c r="V56" s="3">
        <f t="shared" si="6"/>
        <v>0.312</v>
      </c>
    </row>
    <row r="57">
      <c r="A57" s="1" t="s">
        <v>444</v>
      </c>
      <c r="B57" s="1" t="s">
        <v>27</v>
      </c>
      <c r="C57" s="1" t="s">
        <v>20</v>
      </c>
      <c r="D57" s="1" t="s">
        <v>22</v>
      </c>
      <c r="E57" s="1" t="s">
        <v>24</v>
      </c>
      <c r="F57" s="1" t="s">
        <v>21</v>
      </c>
      <c r="G57" s="1" t="s">
        <v>20</v>
      </c>
      <c r="H57" s="1" t="s">
        <v>397</v>
      </c>
      <c r="I57" s="1" t="s">
        <v>22</v>
      </c>
      <c r="J57" s="1" t="s">
        <v>362</v>
      </c>
      <c r="K57" s="1" t="s">
        <v>300</v>
      </c>
      <c r="L57" s="1" t="s">
        <v>129</v>
      </c>
      <c r="M57" s="1" t="s">
        <v>206</v>
      </c>
      <c r="N57" s="1" t="s">
        <v>206</v>
      </c>
      <c r="P57" s="3">
        <f t="shared" si="1"/>
        <v>0.775</v>
      </c>
      <c r="Q57" s="3">
        <f t="shared" si="2"/>
        <v>0.65</v>
      </c>
      <c r="R57" s="3">
        <f t="shared" si="3"/>
        <v>0.7625</v>
      </c>
      <c r="T57" s="3">
        <f t="shared" si="4"/>
        <v>0.62</v>
      </c>
      <c r="U57" s="3">
        <f t="shared" si="5"/>
        <v>1.04</v>
      </c>
      <c r="V57" s="3">
        <f t="shared" si="6"/>
        <v>0.244</v>
      </c>
    </row>
    <row r="58">
      <c r="A58" s="1" t="s">
        <v>445</v>
      </c>
      <c r="B58" s="1" t="s">
        <v>27</v>
      </c>
      <c r="C58" s="1" t="s">
        <v>20</v>
      </c>
      <c r="D58" s="1" t="s">
        <v>22</v>
      </c>
      <c r="E58" s="1" t="s">
        <v>21</v>
      </c>
      <c r="F58" s="1" t="s">
        <v>42</v>
      </c>
      <c r="G58" s="1" t="s">
        <v>42</v>
      </c>
      <c r="H58" s="1" t="s">
        <v>53</v>
      </c>
      <c r="I58" s="1" t="s">
        <v>22</v>
      </c>
      <c r="J58" s="1" t="s">
        <v>415</v>
      </c>
      <c r="K58" s="1" t="s">
        <v>82</v>
      </c>
      <c r="L58" s="1" t="s">
        <v>116</v>
      </c>
      <c r="M58" s="1" t="s">
        <v>206</v>
      </c>
      <c r="N58" s="1" t="s">
        <v>206</v>
      </c>
      <c r="P58" s="3">
        <f t="shared" si="1"/>
        <v>0.875</v>
      </c>
      <c r="Q58" s="3">
        <f t="shared" si="2"/>
        <v>0.6</v>
      </c>
      <c r="R58" s="3">
        <f t="shared" si="3"/>
        <v>0.9625</v>
      </c>
      <c r="T58" s="3">
        <f t="shared" si="4"/>
        <v>0.7</v>
      </c>
      <c r="U58" s="3">
        <f t="shared" si="5"/>
        <v>0.96</v>
      </c>
      <c r="V58" s="3">
        <f t="shared" si="6"/>
        <v>0.308</v>
      </c>
    </row>
    <row r="59">
      <c r="A59" s="1" t="s">
        <v>446</v>
      </c>
      <c r="B59" s="1" t="s">
        <v>27</v>
      </c>
      <c r="C59" s="1" t="s">
        <v>20</v>
      </c>
      <c r="D59" s="1" t="s">
        <v>22</v>
      </c>
      <c r="E59" s="1" t="s">
        <v>24</v>
      </c>
      <c r="F59" s="1" t="s">
        <v>21</v>
      </c>
      <c r="G59" s="1" t="s">
        <v>22</v>
      </c>
      <c r="H59" s="1" t="s">
        <v>447</v>
      </c>
      <c r="I59" s="1" t="s">
        <v>42</v>
      </c>
      <c r="J59" s="1" t="s">
        <v>403</v>
      </c>
      <c r="K59" s="1" t="s">
        <v>23</v>
      </c>
      <c r="L59" s="1" t="s">
        <v>120</v>
      </c>
      <c r="M59" s="1" t="s">
        <v>206</v>
      </c>
      <c r="N59" s="1" t="s">
        <v>206</v>
      </c>
      <c r="P59" s="3">
        <f t="shared" si="1"/>
        <v>0.7875</v>
      </c>
      <c r="Q59" s="3">
        <f t="shared" si="2"/>
        <v>0.6125</v>
      </c>
      <c r="R59" s="3">
        <f t="shared" si="3"/>
        <v>0.8</v>
      </c>
      <c r="T59" s="3">
        <f t="shared" si="4"/>
        <v>0.63</v>
      </c>
      <c r="U59" s="3">
        <f t="shared" si="5"/>
        <v>0.98</v>
      </c>
      <c r="V59" s="3">
        <f t="shared" si="6"/>
        <v>0.256</v>
      </c>
    </row>
    <row r="60">
      <c r="A60" s="1" t="s">
        <v>448</v>
      </c>
      <c r="B60" s="1" t="s">
        <v>27</v>
      </c>
      <c r="C60" s="1" t="s">
        <v>21</v>
      </c>
      <c r="D60" s="1" t="s">
        <v>42</v>
      </c>
      <c r="E60" s="1" t="s">
        <v>20</v>
      </c>
      <c r="F60" s="1" t="s">
        <v>21</v>
      </c>
      <c r="G60" s="1" t="s">
        <v>22</v>
      </c>
      <c r="H60" s="1" t="s">
        <v>352</v>
      </c>
      <c r="I60" s="1" t="s">
        <v>42</v>
      </c>
      <c r="J60" s="1" t="s">
        <v>427</v>
      </c>
      <c r="K60" s="1" t="s">
        <v>43</v>
      </c>
      <c r="L60" s="1" t="s">
        <v>263</v>
      </c>
      <c r="M60" s="1" t="s">
        <v>24</v>
      </c>
      <c r="N60" s="1" t="s">
        <v>24</v>
      </c>
      <c r="P60" s="3">
        <f t="shared" si="1"/>
        <v>0.6125</v>
      </c>
      <c r="Q60" s="3">
        <f t="shared" si="2"/>
        <v>0.6375</v>
      </c>
      <c r="R60" s="3">
        <f t="shared" si="3"/>
        <v>0.825</v>
      </c>
      <c r="T60" s="3">
        <f t="shared" si="4"/>
        <v>0.49</v>
      </c>
      <c r="U60" s="3">
        <f t="shared" si="5"/>
        <v>1.02</v>
      </c>
      <c r="V60" s="3">
        <f t="shared" si="6"/>
        <v>0.264</v>
      </c>
    </row>
    <row r="61">
      <c r="A61" s="1" t="s">
        <v>449</v>
      </c>
      <c r="B61" s="1" t="s">
        <v>27</v>
      </c>
      <c r="C61" s="1" t="s">
        <v>21</v>
      </c>
      <c r="D61" s="1" t="s">
        <v>20</v>
      </c>
      <c r="E61" s="1" t="s">
        <v>21</v>
      </c>
      <c r="F61" s="1" t="s">
        <v>20</v>
      </c>
      <c r="G61" s="1" t="s">
        <v>22</v>
      </c>
      <c r="H61" s="1" t="s">
        <v>450</v>
      </c>
      <c r="I61" s="1" t="s">
        <v>22</v>
      </c>
      <c r="J61" s="1" t="s">
        <v>360</v>
      </c>
      <c r="K61" s="1" t="s">
        <v>300</v>
      </c>
      <c r="L61" s="1" t="s">
        <v>246</v>
      </c>
      <c r="M61" s="1" t="s">
        <v>206</v>
      </c>
      <c r="N61" s="1" t="s">
        <v>24</v>
      </c>
      <c r="P61" s="3">
        <f t="shared" si="1"/>
        <v>0.8125</v>
      </c>
      <c r="Q61" s="3">
        <f t="shared" si="2"/>
        <v>0.7375</v>
      </c>
      <c r="R61" s="3">
        <f t="shared" si="3"/>
        <v>0.925</v>
      </c>
      <c r="T61" s="3">
        <f t="shared" si="4"/>
        <v>0.65</v>
      </c>
      <c r="U61" s="3">
        <f t="shared" si="5"/>
        <v>1.18</v>
      </c>
      <c r="V61" s="3">
        <f t="shared" si="6"/>
        <v>0.296</v>
      </c>
    </row>
    <row r="62">
      <c r="A62" s="1" t="s">
        <v>451</v>
      </c>
      <c r="B62" s="1" t="s">
        <v>27</v>
      </c>
      <c r="C62" s="1" t="s">
        <v>24</v>
      </c>
      <c r="D62" s="1" t="s">
        <v>20</v>
      </c>
      <c r="E62" s="1" t="s">
        <v>20</v>
      </c>
      <c r="F62" s="1" t="s">
        <v>42</v>
      </c>
      <c r="G62" s="1" t="s">
        <v>42</v>
      </c>
      <c r="H62" s="1" t="s">
        <v>159</v>
      </c>
      <c r="I62" s="1" t="s">
        <v>22</v>
      </c>
      <c r="J62" s="1" t="s">
        <v>358</v>
      </c>
      <c r="K62" s="1" t="s">
        <v>23</v>
      </c>
      <c r="L62" s="1" t="s">
        <v>116</v>
      </c>
      <c r="M62" s="1" t="s">
        <v>24</v>
      </c>
      <c r="N62" s="1" t="s">
        <v>206</v>
      </c>
      <c r="P62" s="3">
        <f t="shared" si="1"/>
        <v>0.725</v>
      </c>
      <c r="Q62" s="3">
        <f t="shared" si="2"/>
        <v>0.625</v>
      </c>
      <c r="R62" s="3">
        <f t="shared" si="3"/>
        <v>0.9875</v>
      </c>
      <c r="T62" s="3">
        <f t="shared" si="4"/>
        <v>0.58</v>
      </c>
      <c r="U62" s="3">
        <f t="shared" si="5"/>
        <v>1</v>
      </c>
      <c r="V62" s="3">
        <f t="shared" si="6"/>
        <v>0.316</v>
      </c>
    </row>
    <row r="63">
      <c r="A63" s="1" t="s">
        <v>452</v>
      </c>
      <c r="B63" s="1" t="s">
        <v>27</v>
      </c>
      <c r="C63" s="1" t="s">
        <v>22</v>
      </c>
      <c r="D63" s="1" t="s">
        <v>20</v>
      </c>
      <c r="E63" s="1" t="s">
        <v>20</v>
      </c>
      <c r="F63" s="1" t="s">
        <v>42</v>
      </c>
      <c r="G63" s="1" t="s">
        <v>21</v>
      </c>
      <c r="H63" s="1" t="s">
        <v>75</v>
      </c>
      <c r="I63" s="1" t="s">
        <v>20</v>
      </c>
      <c r="J63" s="1" t="s">
        <v>381</v>
      </c>
      <c r="K63" s="1" t="s">
        <v>300</v>
      </c>
      <c r="L63" s="1" t="s">
        <v>177</v>
      </c>
      <c r="M63" s="1" t="s">
        <v>206</v>
      </c>
      <c r="N63" s="1" t="s">
        <v>24</v>
      </c>
      <c r="P63" s="3">
        <f t="shared" si="1"/>
        <v>0.875</v>
      </c>
      <c r="Q63" s="3">
        <f t="shared" si="2"/>
        <v>0.85</v>
      </c>
      <c r="R63" s="3">
        <f t="shared" si="3"/>
        <v>0.8375</v>
      </c>
      <c r="T63" s="3">
        <f t="shared" si="4"/>
        <v>0.7</v>
      </c>
      <c r="U63" s="3">
        <f t="shared" si="5"/>
        <v>1.36</v>
      </c>
      <c r="V63" s="3">
        <f t="shared" si="6"/>
        <v>0.268</v>
      </c>
    </row>
    <row r="64">
      <c r="A64" s="1" t="s">
        <v>453</v>
      </c>
      <c r="B64" s="1" t="s">
        <v>27</v>
      </c>
      <c r="C64" s="1" t="s">
        <v>24</v>
      </c>
      <c r="D64" s="1" t="s">
        <v>22</v>
      </c>
      <c r="E64" s="1" t="s">
        <v>21</v>
      </c>
      <c r="F64" s="1" t="s">
        <v>22</v>
      </c>
      <c r="G64" s="1" t="s">
        <v>22</v>
      </c>
      <c r="H64" s="1" t="s">
        <v>249</v>
      </c>
      <c r="I64" s="1" t="s">
        <v>42</v>
      </c>
      <c r="J64" s="1" t="s">
        <v>427</v>
      </c>
      <c r="K64" s="1" t="s">
        <v>43</v>
      </c>
      <c r="L64" s="1" t="s">
        <v>246</v>
      </c>
      <c r="M64" s="1" t="s">
        <v>206</v>
      </c>
      <c r="N64" s="1" t="s">
        <v>24</v>
      </c>
      <c r="P64" s="3">
        <f t="shared" si="1"/>
        <v>0.725</v>
      </c>
      <c r="Q64" s="3">
        <f t="shared" si="2"/>
        <v>0.6</v>
      </c>
      <c r="R64" s="3">
        <f t="shared" si="3"/>
        <v>0.9375</v>
      </c>
      <c r="T64" s="3">
        <f t="shared" si="4"/>
        <v>0.58</v>
      </c>
      <c r="U64" s="3">
        <f t="shared" si="5"/>
        <v>0.96</v>
      </c>
      <c r="V64" s="3">
        <f t="shared" si="6"/>
        <v>0.3</v>
      </c>
    </row>
    <row r="65">
      <c r="A65" s="1" t="s">
        <v>454</v>
      </c>
      <c r="B65" s="1" t="s">
        <v>27</v>
      </c>
      <c r="C65" s="1" t="s">
        <v>20</v>
      </c>
      <c r="D65" s="1" t="s">
        <v>24</v>
      </c>
      <c r="E65" s="1" t="s">
        <v>42</v>
      </c>
      <c r="F65" s="1" t="s">
        <v>20</v>
      </c>
      <c r="G65" s="1" t="s">
        <v>20</v>
      </c>
      <c r="H65" s="1" t="s">
        <v>374</v>
      </c>
      <c r="I65" s="1" t="s">
        <v>22</v>
      </c>
      <c r="J65" s="1" t="s">
        <v>362</v>
      </c>
      <c r="K65" s="1" t="s">
        <v>82</v>
      </c>
      <c r="L65" s="1" t="s">
        <v>270</v>
      </c>
      <c r="M65" s="1" t="s">
        <v>24</v>
      </c>
      <c r="N65" s="1" t="s">
        <v>24</v>
      </c>
      <c r="P65" s="3">
        <f t="shared" si="1"/>
        <v>0.675</v>
      </c>
      <c r="Q65" s="3">
        <f t="shared" si="2"/>
        <v>0.975</v>
      </c>
      <c r="R65" s="3">
        <f t="shared" si="3"/>
        <v>0.7875</v>
      </c>
      <c r="T65" s="3">
        <f t="shared" si="4"/>
        <v>0.54</v>
      </c>
      <c r="U65" s="3">
        <f t="shared" si="5"/>
        <v>1.56</v>
      </c>
      <c r="V65" s="3">
        <f t="shared" si="6"/>
        <v>0.252</v>
      </c>
    </row>
    <row r="66">
      <c r="A66" s="1" t="s">
        <v>455</v>
      </c>
      <c r="B66" s="1" t="s">
        <v>27</v>
      </c>
      <c r="C66" s="1" t="s">
        <v>22</v>
      </c>
      <c r="D66" s="1" t="s">
        <v>20</v>
      </c>
      <c r="E66" s="1" t="s">
        <v>22</v>
      </c>
      <c r="F66" s="1" t="s">
        <v>24</v>
      </c>
      <c r="G66" s="1" t="s">
        <v>21</v>
      </c>
      <c r="H66" s="1" t="s">
        <v>43</v>
      </c>
      <c r="I66" s="1" t="s">
        <v>20</v>
      </c>
      <c r="J66" s="1" t="s">
        <v>413</v>
      </c>
      <c r="K66" s="1" t="s">
        <v>82</v>
      </c>
      <c r="L66" s="1" t="s">
        <v>242</v>
      </c>
      <c r="M66" s="1" t="s">
        <v>24</v>
      </c>
      <c r="N66" s="1" t="s">
        <v>24</v>
      </c>
      <c r="P66" s="3">
        <f t="shared" si="1"/>
        <v>0.6125</v>
      </c>
      <c r="Q66" s="3">
        <f t="shared" si="2"/>
        <v>0.8875</v>
      </c>
      <c r="R66" s="3">
        <f t="shared" si="3"/>
        <v>0.625</v>
      </c>
      <c r="T66" s="3">
        <f t="shared" si="4"/>
        <v>0.49</v>
      </c>
      <c r="U66" s="3">
        <f t="shared" si="5"/>
        <v>1.42</v>
      </c>
      <c r="V66" s="3">
        <f t="shared" si="6"/>
        <v>0.2</v>
      </c>
    </row>
    <row r="67">
      <c r="A67" s="1" t="s">
        <v>456</v>
      </c>
      <c r="B67" s="1" t="s">
        <v>27</v>
      </c>
      <c r="C67" s="1" t="s">
        <v>22</v>
      </c>
      <c r="D67" s="1" t="s">
        <v>21</v>
      </c>
      <c r="E67" s="1" t="s">
        <v>22</v>
      </c>
      <c r="F67" s="1" t="s">
        <v>24</v>
      </c>
      <c r="G67" s="1" t="s">
        <v>24</v>
      </c>
      <c r="H67" s="1" t="s">
        <v>395</v>
      </c>
      <c r="I67" s="1" t="s">
        <v>22</v>
      </c>
      <c r="J67" s="1" t="s">
        <v>457</v>
      </c>
      <c r="K67" s="1" t="s">
        <v>300</v>
      </c>
      <c r="L67" s="1" t="s">
        <v>79</v>
      </c>
      <c r="M67" s="1" t="s">
        <v>24</v>
      </c>
      <c r="N67" s="1" t="s">
        <v>24</v>
      </c>
      <c r="P67" s="3">
        <f t="shared" si="1"/>
        <v>0.5625</v>
      </c>
      <c r="Q67" s="3">
        <f t="shared" si="2"/>
        <v>0.9125</v>
      </c>
      <c r="R67" s="3">
        <f t="shared" si="3"/>
        <v>0.525</v>
      </c>
      <c r="T67" s="3">
        <f t="shared" si="4"/>
        <v>0.45</v>
      </c>
      <c r="U67" s="3">
        <f t="shared" si="5"/>
        <v>1.46</v>
      </c>
      <c r="V67" s="3">
        <f t="shared" si="6"/>
        <v>0.168</v>
      </c>
    </row>
    <row r="68">
      <c r="A68" s="1" t="s">
        <v>458</v>
      </c>
      <c r="B68" s="1" t="s">
        <v>27</v>
      </c>
      <c r="C68" s="1" t="s">
        <v>21</v>
      </c>
      <c r="D68" s="1" t="s">
        <v>42</v>
      </c>
      <c r="E68" s="1" t="s">
        <v>24</v>
      </c>
      <c r="F68" s="1" t="s">
        <v>20</v>
      </c>
      <c r="G68" s="1" t="s">
        <v>21</v>
      </c>
      <c r="H68" s="1" t="s">
        <v>459</v>
      </c>
      <c r="I68" s="1" t="s">
        <v>22</v>
      </c>
      <c r="J68" s="1" t="s">
        <v>367</v>
      </c>
      <c r="K68" s="1" t="s">
        <v>300</v>
      </c>
      <c r="L68" s="1" t="s">
        <v>71</v>
      </c>
      <c r="M68" s="1" t="s">
        <v>206</v>
      </c>
      <c r="N68" s="1" t="s">
        <v>24</v>
      </c>
      <c r="P68" s="3">
        <f t="shared" si="1"/>
        <v>0.675</v>
      </c>
      <c r="Q68" s="3">
        <f t="shared" si="2"/>
        <v>0.55</v>
      </c>
      <c r="R68" s="3">
        <f t="shared" si="3"/>
        <v>0.7375</v>
      </c>
      <c r="T68" s="3">
        <f t="shared" si="4"/>
        <v>0.54</v>
      </c>
      <c r="U68" s="3">
        <f t="shared" si="5"/>
        <v>0.88</v>
      </c>
      <c r="V68" s="3">
        <f t="shared" si="6"/>
        <v>0.236</v>
      </c>
    </row>
    <row r="69">
      <c r="A69" s="1" t="s">
        <v>460</v>
      </c>
      <c r="B69" s="1" t="s">
        <v>27</v>
      </c>
      <c r="C69" s="1" t="s">
        <v>20</v>
      </c>
      <c r="D69" s="1" t="s">
        <v>20</v>
      </c>
      <c r="E69" s="1" t="s">
        <v>24</v>
      </c>
      <c r="F69" s="1" t="s">
        <v>21</v>
      </c>
      <c r="G69" s="1" t="s">
        <v>21</v>
      </c>
      <c r="H69" s="1" t="s">
        <v>461</v>
      </c>
      <c r="I69" s="1" t="s">
        <v>22</v>
      </c>
      <c r="J69" s="1" t="s">
        <v>358</v>
      </c>
      <c r="K69" s="1" t="s">
        <v>74</v>
      </c>
      <c r="L69" s="1" t="s">
        <v>129</v>
      </c>
      <c r="M69" s="1" t="s">
        <v>206</v>
      </c>
      <c r="N69" s="1" t="s">
        <v>24</v>
      </c>
      <c r="P69" s="3">
        <f t="shared" si="1"/>
        <v>0.775</v>
      </c>
      <c r="Q69" s="3">
        <f t="shared" si="2"/>
        <v>0.725</v>
      </c>
      <c r="R69" s="3">
        <f t="shared" si="3"/>
        <v>0.7125</v>
      </c>
      <c r="T69" s="3">
        <f t="shared" si="4"/>
        <v>0.62</v>
      </c>
      <c r="U69" s="3">
        <f t="shared" si="5"/>
        <v>1.16</v>
      </c>
      <c r="V69" s="3">
        <f t="shared" si="6"/>
        <v>0.228</v>
      </c>
    </row>
    <row r="70">
      <c r="A70" s="1" t="s">
        <v>462</v>
      </c>
      <c r="B70" s="1" t="s">
        <v>27</v>
      </c>
      <c r="C70" s="1" t="s">
        <v>21</v>
      </c>
      <c r="D70" s="1" t="s">
        <v>21</v>
      </c>
      <c r="E70" s="1" t="s">
        <v>22</v>
      </c>
      <c r="F70" s="1" t="s">
        <v>22</v>
      </c>
      <c r="G70" s="1" t="s">
        <v>42</v>
      </c>
      <c r="H70" s="1" t="s">
        <v>463</v>
      </c>
      <c r="I70" s="1" t="s">
        <v>42</v>
      </c>
      <c r="J70" s="1" t="s">
        <v>358</v>
      </c>
      <c r="K70" s="1" t="s">
        <v>23</v>
      </c>
      <c r="L70" s="1" t="s">
        <v>302</v>
      </c>
      <c r="M70" s="1" t="s">
        <v>206</v>
      </c>
      <c r="N70" s="1" t="s">
        <v>206</v>
      </c>
      <c r="P70" s="3">
        <f t="shared" si="1"/>
        <v>0.75</v>
      </c>
      <c r="Q70" s="3">
        <f t="shared" si="2"/>
        <v>0.8</v>
      </c>
      <c r="R70" s="3">
        <f t="shared" si="3"/>
        <v>0.9625</v>
      </c>
      <c r="T70" s="3">
        <f t="shared" si="4"/>
        <v>0.6</v>
      </c>
      <c r="U70" s="3">
        <f t="shared" si="5"/>
        <v>1.28</v>
      </c>
      <c r="V70" s="3">
        <f t="shared" si="6"/>
        <v>0.308</v>
      </c>
    </row>
    <row r="71">
      <c r="A71" s="1" t="s">
        <v>464</v>
      </c>
      <c r="B71" s="1" t="s">
        <v>27</v>
      </c>
      <c r="C71" s="1" t="s">
        <v>22</v>
      </c>
      <c r="D71" s="1" t="s">
        <v>20</v>
      </c>
      <c r="E71" s="1" t="s">
        <v>24</v>
      </c>
      <c r="F71" s="1" t="s">
        <v>22</v>
      </c>
      <c r="G71" s="1" t="s">
        <v>20</v>
      </c>
      <c r="H71" s="1" t="s">
        <v>410</v>
      </c>
      <c r="I71" s="1" t="s">
        <v>42</v>
      </c>
      <c r="J71" s="1" t="s">
        <v>381</v>
      </c>
      <c r="K71" s="1" t="s">
        <v>300</v>
      </c>
      <c r="L71" s="1" t="s">
        <v>142</v>
      </c>
      <c r="M71" s="1" t="s">
        <v>24</v>
      </c>
      <c r="N71" s="1" t="s">
        <v>206</v>
      </c>
      <c r="P71" s="3">
        <f t="shared" si="1"/>
        <v>0.95</v>
      </c>
      <c r="Q71" s="3">
        <f t="shared" si="2"/>
        <v>0.725</v>
      </c>
      <c r="R71" s="3">
        <f t="shared" si="3"/>
        <v>0.8375</v>
      </c>
      <c r="T71" s="3">
        <f t="shared" si="4"/>
        <v>0.76</v>
      </c>
      <c r="U71" s="3">
        <f t="shared" si="5"/>
        <v>1.16</v>
      </c>
      <c r="V71" s="3">
        <f t="shared" si="6"/>
        <v>0.268</v>
      </c>
    </row>
    <row r="72">
      <c r="A72" s="1" t="s">
        <v>465</v>
      </c>
      <c r="B72" s="1" t="s">
        <v>27</v>
      </c>
      <c r="C72" s="1" t="s">
        <v>22</v>
      </c>
      <c r="D72" s="1" t="s">
        <v>22</v>
      </c>
      <c r="E72" s="1" t="s">
        <v>22</v>
      </c>
      <c r="F72" s="1" t="s">
        <v>20</v>
      </c>
      <c r="G72" s="1" t="s">
        <v>21</v>
      </c>
      <c r="H72" s="1" t="s">
        <v>372</v>
      </c>
      <c r="I72" s="1" t="s">
        <v>20</v>
      </c>
      <c r="J72" s="1" t="s">
        <v>381</v>
      </c>
      <c r="K72" s="1" t="s">
        <v>300</v>
      </c>
      <c r="L72" s="1" t="s">
        <v>177</v>
      </c>
      <c r="M72" s="1" t="s">
        <v>206</v>
      </c>
      <c r="N72" s="1" t="s">
        <v>206</v>
      </c>
      <c r="P72" s="3">
        <f t="shared" si="1"/>
        <v>0.725</v>
      </c>
      <c r="Q72" s="3">
        <f t="shared" si="2"/>
        <v>0.875</v>
      </c>
      <c r="R72" s="3">
        <f t="shared" si="3"/>
        <v>0.7625</v>
      </c>
      <c r="T72" s="3">
        <f t="shared" si="4"/>
        <v>0.58</v>
      </c>
      <c r="U72" s="3">
        <f t="shared" si="5"/>
        <v>1.4</v>
      </c>
      <c r="V72" s="3">
        <f t="shared" si="6"/>
        <v>0.244</v>
      </c>
    </row>
    <row r="73">
      <c r="A73" s="1" t="s">
        <v>466</v>
      </c>
      <c r="B73" s="1" t="s">
        <v>27</v>
      </c>
      <c r="C73" s="1" t="s">
        <v>24</v>
      </c>
      <c r="D73" s="1" t="s">
        <v>22</v>
      </c>
      <c r="E73" s="1" t="s">
        <v>24</v>
      </c>
      <c r="F73" s="1" t="s">
        <v>22</v>
      </c>
      <c r="G73" s="1" t="s">
        <v>20</v>
      </c>
      <c r="H73" s="1" t="s">
        <v>388</v>
      </c>
      <c r="I73" s="1" t="s">
        <v>42</v>
      </c>
      <c r="J73" s="1" t="s">
        <v>467</v>
      </c>
      <c r="K73" s="1" t="s">
        <v>300</v>
      </c>
      <c r="L73" s="1" t="s">
        <v>220</v>
      </c>
      <c r="M73" s="1" t="s">
        <v>24</v>
      </c>
      <c r="N73" s="1" t="s">
        <v>206</v>
      </c>
      <c r="P73" s="3">
        <f t="shared" si="1"/>
        <v>0.725</v>
      </c>
      <c r="Q73" s="3">
        <f t="shared" si="2"/>
        <v>0.55</v>
      </c>
      <c r="R73" s="3">
        <f t="shared" si="3"/>
        <v>0.8625</v>
      </c>
      <c r="T73" s="3">
        <f t="shared" si="4"/>
        <v>0.58</v>
      </c>
      <c r="U73" s="3">
        <f t="shared" si="5"/>
        <v>0.88</v>
      </c>
      <c r="V73" s="3">
        <f t="shared" si="6"/>
        <v>0.276</v>
      </c>
    </row>
    <row r="74">
      <c r="A74" s="1" t="s">
        <v>468</v>
      </c>
      <c r="B74" s="1" t="s">
        <v>27</v>
      </c>
      <c r="C74" s="1" t="s">
        <v>24</v>
      </c>
      <c r="D74" s="1" t="s">
        <v>21</v>
      </c>
      <c r="E74" s="1" t="s">
        <v>22</v>
      </c>
      <c r="F74" s="1" t="s">
        <v>20</v>
      </c>
      <c r="G74" s="1" t="s">
        <v>42</v>
      </c>
      <c r="H74" s="1" t="s">
        <v>166</v>
      </c>
      <c r="I74" s="1" t="s">
        <v>42</v>
      </c>
      <c r="J74" s="1" t="s">
        <v>417</v>
      </c>
      <c r="K74" s="1" t="s">
        <v>82</v>
      </c>
      <c r="L74" s="1" t="s">
        <v>311</v>
      </c>
      <c r="M74" s="1" t="s">
        <v>206</v>
      </c>
      <c r="N74" s="1" t="s">
        <v>24</v>
      </c>
      <c r="P74" s="3">
        <f t="shared" si="1"/>
        <v>0.625</v>
      </c>
      <c r="Q74" s="3">
        <f t="shared" si="2"/>
        <v>0.75</v>
      </c>
      <c r="R74" s="3">
        <f t="shared" si="3"/>
        <v>0.9125</v>
      </c>
      <c r="T74" s="3">
        <f t="shared" si="4"/>
        <v>0.5</v>
      </c>
      <c r="U74" s="3">
        <f t="shared" si="5"/>
        <v>1.2</v>
      </c>
      <c r="V74" s="3">
        <f t="shared" si="6"/>
        <v>0.292</v>
      </c>
    </row>
    <row r="75">
      <c r="A75" s="1" t="s">
        <v>469</v>
      </c>
      <c r="B75" s="1" t="s">
        <v>84</v>
      </c>
      <c r="C75" s="1" t="s">
        <v>21</v>
      </c>
      <c r="D75" s="1" t="s">
        <v>20</v>
      </c>
      <c r="E75" s="1" t="s">
        <v>42</v>
      </c>
      <c r="F75" s="1" t="s">
        <v>24</v>
      </c>
      <c r="G75" s="1" t="s">
        <v>20</v>
      </c>
      <c r="H75" s="1" t="s">
        <v>166</v>
      </c>
      <c r="I75" s="1" t="s">
        <v>42</v>
      </c>
      <c r="J75" s="1" t="s">
        <v>413</v>
      </c>
      <c r="K75" s="1" t="s">
        <v>43</v>
      </c>
      <c r="L75" s="1" t="s">
        <v>169</v>
      </c>
      <c r="M75" s="1" t="s">
        <v>24</v>
      </c>
      <c r="N75" s="1" t="s">
        <v>206</v>
      </c>
      <c r="P75" s="3">
        <f t="shared" si="1"/>
        <v>0.4625</v>
      </c>
      <c r="Q75" s="3">
        <f t="shared" si="2"/>
        <v>0.8375</v>
      </c>
      <c r="R75" s="3">
        <f t="shared" si="3"/>
        <v>0.7</v>
      </c>
      <c r="T75" s="3">
        <f t="shared" si="4"/>
        <v>0.37</v>
      </c>
      <c r="U75" s="3">
        <f t="shared" si="5"/>
        <v>1.34</v>
      </c>
      <c r="V75" s="3">
        <f t="shared" si="6"/>
        <v>0.224</v>
      </c>
    </row>
    <row r="76">
      <c r="A76" s="1" t="s">
        <v>470</v>
      </c>
      <c r="B76" s="1" t="s">
        <v>84</v>
      </c>
      <c r="C76" s="1" t="s">
        <v>20</v>
      </c>
      <c r="D76" s="1" t="s">
        <v>20</v>
      </c>
      <c r="E76" s="1" t="s">
        <v>20</v>
      </c>
      <c r="F76" s="1" t="s">
        <v>21</v>
      </c>
      <c r="G76" s="1" t="s">
        <v>20</v>
      </c>
      <c r="H76" s="1" t="s">
        <v>391</v>
      </c>
      <c r="I76" s="1" t="s">
        <v>42</v>
      </c>
      <c r="J76" s="1" t="s">
        <v>471</v>
      </c>
      <c r="K76" s="1" t="s">
        <v>43</v>
      </c>
      <c r="L76" s="1" t="s">
        <v>17</v>
      </c>
      <c r="M76" s="1" t="s">
        <v>206</v>
      </c>
      <c r="N76" s="1" t="s">
        <v>24</v>
      </c>
      <c r="P76" s="3">
        <f t="shared" si="1"/>
        <v>0.7625</v>
      </c>
      <c r="Q76" s="3">
        <f t="shared" si="2"/>
        <v>0.8625</v>
      </c>
      <c r="R76" s="3">
        <f t="shared" si="3"/>
        <v>0.825</v>
      </c>
      <c r="T76" s="3">
        <f t="shared" si="4"/>
        <v>0.61</v>
      </c>
      <c r="U76" s="3">
        <f t="shared" si="5"/>
        <v>1.38</v>
      </c>
      <c r="V76" s="3">
        <f t="shared" si="6"/>
        <v>0.264</v>
      </c>
    </row>
    <row r="77">
      <c r="A77" s="1" t="s">
        <v>472</v>
      </c>
      <c r="B77" s="1" t="s">
        <v>84</v>
      </c>
      <c r="C77" s="1" t="s">
        <v>21</v>
      </c>
      <c r="D77" s="1" t="s">
        <v>22</v>
      </c>
      <c r="E77" s="1" t="s">
        <v>21</v>
      </c>
      <c r="F77" s="1" t="s">
        <v>20</v>
      </c>
      <c r="G77" s="1" t="s">
        <v>21</v>
      </c>
      <c r="H77" s="1" t="s">
        <v>395</v>
      </c>
      <c r="I77" s="1" t="s">
        <v>42</v>
      </c>
      <c r="J77" s="1" t="s">
        <v>425</v>
      </c>
      <c r="K77" s="1" t="s">
        <v>82</v>
      </c>
      <c r="L77" s="1" t="s">
        <v>210</v>
      </c>
      <c r="M77" s="1" t="s">
        <v>206</v>
      </c>
      <c r="N77" s="1" t="s">
        <v>24</v>
      </c>
      <c r="P77" s="3">
        <f t="shared" si="1"/>
        <v>0.725</v>
      </c>
      <c r="Q77" s="3">
        <f t="shared" si="2"/>
        <v>0.725</v>
      </c>
      <c r="R77" s="3">
        <f t="shared" si="3"/>
        <v>0.8125</v>
      </c>
      <c r="T77" s="3">
        <f t="shared" si="4"/>
        <v>0.58</v>
      </c>
      <c r="U77" s="3">
        <f t="shared" si="5"/>
        <v>1.16</v>
      </c>
      <c r="V77" s="3">
        <f t="shared" si="6"/>
        <v>0.26</v>
      </c>
    </row>
    <row r="78">
      <c r="A78" s="1" t="s">
        <v>473</v>
      </c>
      <c r="B78" s="1" t="s">
        <v>84</v>
      </c>
      <c r="C78" s="1" t="s">
        <v>21</v>
      </c>
      <c r="D78" s="1" t="s">
        <v>22</v>
      </c>
      <c r="E78" s="1" t="s">
        <v>21</v>
      </c>
      <c r="F78" s="1" t="s">
        <v>21</v>
      </c>
      <c r="G78" s="1" t="s">
        <v>20</v>
      </c>
      <c r="H78" s="1" t="s">
        <v>474</v>
      </c>
      <c r="I78" s="1" t="s">
        <v>42</v>
      </c>
      <c r="J78" s="1" t="s">
        <v>355</v>
      </c>
      <c r="K78" s="1" t="s">
        <v>82</v>
      </c>
      <c r="L78" s="1" t="s">
        <v>263</v>
      </c>
      <c r="M78" s="1" t="s">
        <v>206</v>
      </c>
      <c r="N78" s="1" t="s">
        <v>206</v>
      </c>
      <c r="P78" s="3">
        <f t="shared" si="1"/>
        <v>0.7</v>
      </c>
      <c r="Q78" s="3">
        <f t="shared" si="2"/>
        <v>0.7</v>
      </c>
      <c r="R78" s="3">
        <f t="shared" si="3"/>
        <v>0.8125</v>
      </c>
      <c r="T78" s="3">
        <f t="shared" si="4"/>
        <v>0.56</v>
      </c>
      <c r="U78" s="3">
        <f t="shared" si="5"/>
        <v>1.12</v>
      </c>
      <c r="V78" s="3">
        <f t="shared" si="6"/>
        <v>0.26</v>
      </c>
    </row>
    <row r="79">
      <c r="A79" s="1" t="s">
        <v>475</v>
      </c>
      <c r="B79" s="1" t="s">
        <v>84</v>
      </c>
      <c r="C79" s="1" t="s">
        <v>22</v>
      </c>
      <c r="D79" s="1" t="s">
        <v>20</v>
      </c>
      <c r="E79" s="1" t="s">
        <v>42</v>
      </c>
      <c r="F79" s="1" t="s">
        <v>24</v>
      </c>
      <c r="G79" s="1" t="s">
        <v>24</v>
      </c>
      <c r="H79" s="1" t="s">
        <v>395</v>
      </c>
      <c r="I79" s="1" t="s">
        <v>20</v>
      </c>
      <c r="J79" s="1" t="s">
        <v>375</v>
      </c>
      <c r="K79" s="1" t="s">
        <v>300</v>
      </c>
      <c r="L79" s="1" t="s">
        <v>150</v>
      </c>
      <c r="M79" s="1" t="s">
        <v>24</v>
      </c>
      <c r="N79" s="1" t="s">
        <v>24</v>
      </c>
      <c r="P79" s="3">
        <f t="shared" si="1"/>
        <v>0.4625</v>
      </c>
      <c r="Q79" s="3">
        <f t="shared" si="2"/>
        <v>0.8875</v>
      </c>
      <c r="R79" s="3">
        <f t="shared" si="3"/>
        <v>0.5</v>
      </c>
      <c r="T79" s="3">
        <f t="shared" si="4"/>
        <v>0.37</v>
      </c>
      <c r="U79" s="3">
        <f t="shared" si="5"/>
        <v>1.42</v>
      </c>
      <c r="V79" s="3">
        <f t="shared" si="6"/>
        <v>0.16</v>
      </c>
    </row>
    <row r="80">
      <c r="A80" s="1" t="s">
        <v>476</v>
      </c>
      <c r="B80" s="1" t="s">
        <v>84</v>
      </c>
      <c r="C80" s="1" t="s">
        <v>20</v>
      </c>
      <c r="D80" s="1" t="s">
        <v>22</v>
      </c>
      <c r="E80" s="1" t="s">
        <v>21</v>
      </c>
      <c r="F80" s="1" t="s">
        <v>20</v>
      </c>
      <c r="G80" s="1" t="s">
        <v>21</v>
      </c>
      <c r="H80" s="1" t="s">
        <v>160</v>
      </c>
      <c r="I80" s="1" t="s">
        <v>20</v>
      </c>
      <c r="J80" s="1" t="s">
        <v>364</v>
      </c>
      <c r="K80" s="1" t="s">
        <v>43</v>
      </c>
      <c r="L80" s="1" t="s">
        <v>64</v>
      </c>
      <c r="M80" s="1" t="s">
        <v>24</v>
      </c>
      <c r="N80" s="1" t="s">
        <v>24</v>
      </c>
      <c r="P80" s="3">
        <f t="shared" si="1"/>
        <v>0.7875</v>
      </c>
      <c r="Q80" s="3">
        <f t="shared" si="2"/>
        <v>0.7625</v>
      </c>
      <c r="R80" s="3">
        <f t="shared" si="3"/>
        <v>0.8</v>
      </c>
      <c r="T80" s="3">
        <f t="shared" si="4"/>
        <v>0.63</v>
      </c>
      <c r="U80" s="3">
        <f t="shared" si="5"/>
        <v>1.22</v>
      </c>
      <c r="V80" s="3">
        <f t="shared" si="6"/>
        <v>0.256</v>
      </c>
    </row>
    <row r="81">
      <c r="A81" s="1" t="s">
        <v>477</v>
      </c>
      <c r="B81" s="1" t="s">
        <v>84</v>
      </c>
      <c r="C81" s="1" t="s">
        <v>24</v>
      </c>
      <c r="D81" s="1" t="s">
        <v>21</v>
      </c>
      <c r="E81" s="1" t="s">
        <v>21</v>
      </c>
      <c r="F81" s="1" t="s">
        <v>42</v>
      </c>
      <c r="G81" s="1" t="s">
        <v>22</v>
      </c>
      <c r="H81" s="1" t="s">
        <v>139</v>
      </c>
      <c r="I81" s="1" t="s">
        <v>42</v>
      </c>
      <c r="J81" s="1" t="s">
        <v>362</v>
      </c>
      <c r="K81" s="1" t="s">
        <v>300</v>
      </c>
      <c r="L81" s="1" t="s">
        <v>116</v>
      </c>
      <c r="M81" s="1" t="s">
        <v>206</v>
      </c>
      <c r="N81" s="1" t="s">
        <v>206</v>
      </c>
      <c r="P81" s="3">
        <f t="shared" si="1"/>
        <v>0.7875</v>
      </c>
      <c r="Q81" s="3">
        <f t="shared" si="2"/>
        <v>0.6625</v>
      </c>
      <c r="R81" s="3">
        <f t="shared" si="3"/>
        <v>0.95</v>
      </c>
      <c r="T81" s="3">
        <f t="shared" si="4"/>
        <v>0.63</v>
      </c>
      <c r="U81" s="3">
        <f t="shared" si="5"/>
        <v>1.06</v>
      </c>
      <c r="V81" s="3">
        <f t="shared" si="6"/>
        <v>0.304</v>
      </c>
    </row>
    <row r="82">
      <c r="A82" s="1" t="s">
        <v>478</v>
      </c>
      <c r="B82" s="1" t="s">
        <v>84</v>
      </c>
      <c r="C82" s="1" t="s">
        <v>21</v>
      </c>
      <c r="D82" s="1" t="s">
        <v>21</v>
      </c>
      <c r="E82" s="1" t="s">
        <v>22</v>
      </c>
      <c r="F82" s="1" t="s">
        <v>24</v>
      </c>
      <c r="G82" s="1" t="s">
        <v>20</v>
      </c>
      <c r="H82" s="1" t="s">
        <v>239</v>
      </c>
      <c r="I82" s="1" t="s">
        <v>22</v>
      </c>
      <c r="J82" s="1" t="s">
        <v>369</v>
      </c>
      <c r="K82" s="1" t="s">
        <v>82</v>
      </c>
      <c r="L82" s="1" t="s">
        <v>297</v>
      </c>
      <c r="M82" s="1" t="s">
        <v>24</v>
      </c>
      <c r="N82" s="1" t="s">
        <v>24</v>
      </c>
      <c r="P82" s="3">
        <f t="shared" si="1"/>
        <v>0.5625</v>
      </c>
      <c r="Q82" s="3">
        <f t="shared" si="2"/>
        <v>0.8625</v>
      </c>
      <c r="R82" s="3">
        <f t="shared" si="3"/>
        <v>0.725</v>
      </c>
      <c r="T82" s="3">
        <f t="shared" si="4"/>
        <v>0.45</v>
      </c>
      <c r="U82" s="3">
        <f t="shared" si="5"/>
        <v>1.38</v>
      </c>
      <c r="V82" s="3">
        <f t="shared" si="6"/>
        <v>0.232</v>
      </c>
    </row>
    <row r="83">
      <c r="A83" s="1" t="s">
        <v>479</v>
      </c>
      <c r="B83" s="1" t="s">
        <v>84</v>
      </c>
      <c r="C83" s="1" t="s">
        <v>20</v>
      </c>
      <c r="D83" s="1" t="s">
        <v>20</v>
      </c>
      <c r="E83" s="1" t="s">
        <v>21</v>
      </c>
      <c r="F83" s="1" t="s">
        <v>21</v>
      </c>
      <c r="G83" s="1" t="s">
        <v>21</v>
      </c>
      <c r="H83" s="1" t="s">
        <v>146</v>
      </c>
      <c r="I83" s="1" t="s">
        <v>42</v>
      </c>
      <c r="J83" s="1" t="s">
        <v>398</v>
      </c>
      <c r="K83" s="1" t="s">
        <v>82</v>
      </c>
      <c r="L83" s="1" t="s">
        <v>120</v>
      </c>
      <c r="M83" s="1" t="s">
        <v>206</v>
      </c>
      <c r="N83" s="1" t="s">
        <v>206</v>
      </c>
      <c r="P83" s="3">
        <f t="shared" si="1"/>
        <v>0.7625</v>
      </c>
      <c r="Q83" s="3">
        <f t="shared" si="2"/>
        <v>0.8125</v>
      </c>
      <c r="R83" s="3">
        <f t="shared" si="3"/>
        <v>0.75</v>
      </c>
      <c r="T83" s="3">
        <f t="shared" si="4"/>
        <v>0.61</v>
      </c>
      <c r="U83" s="3">
        <f t="shared" si="5"/>
        <v>1.3</v>
      </c>
      <c r="V83" s="3">
        <f t="shared" si="6"/>
        <v>0.24</v>
      </c>
    </row>
    <row r="84">
      <c r="A84" s="1" t="s">
        <v>480</v>
      </c>
      <c r="B84" s="1" t="s">
        <v>84</v>
      </c>
      <c r="C84" s="1" t="s">
        <v>21</v>
      </c>
      <c r="D84" s="1" t="s">
        <v>22</v>
      </c>
      <c r="E84" s="1" t="s">
        <v>20</v>
      </c>
      <c r="F84" s="1" t="s">
        <v>42</v>
      </c>
      <c r="G84" s="1" t="s">
        <v>22</v>
      </c>
      <c r="H84" s="1" t="s">
        <v>201</v>
      </c>
      <c r="I84" s="1" t="s">
        <v>42</v>
      </c>
      <c r="J84" s="1" t="s">
        <v>349</v>
      </c>
      <c r="K84" s="1" t="s">
        <v>300</v>
      </c>
      <c r="L84" s="1" t="s">
        <v>302</v>
      </c>
      <c r="M84" s="1" t="s">
        <v>24</v>
      </c>
      <c r="N84" s="1" t="s">
        <v>24</v>
      </c>
      <c r="P84" s="3">
        <f t="shared" si="1"/>
        <v>0.7875</v>
      </c>
      <c r="Q84" s="3">
        <f t="shared" si="2"/>
        <v>0.6875</v>
      </c>
      <c r="R84" s="3">
        <f t="shared" si="3"/>
        <v>0.975</v>
      </c>
      <c r="T84" s="3">
        <f t="shared" si="4"/>
        <v>0.63</v>
      </c>
      <c r="U84" s="3">
        <f t="shared" si="5"/>
        <v>1.1</v>
      </c>
      <c r="V84" s="3">
        <f t="shared" si="6"/>
        <v>0.312</v>
      </c>
    </row>
    <row r="85">
      <c r="A85" s="1" t="s">
        <v>481</v>
      </c>
      <c r="B85" s="1" t="s">
        <v>84</v>
      </c>
      <c r="C85" s="1" t="s">
        <v>22</v>
      </c>
      <c r="D85" s="1" t="s">
        <v>24</v>
      </c>
      <c r="E85" s="1" t="s">
        <v>42</v>
      </c>
      <c r="F85" s="1" t="s">
        <v>20</v>
      </c>
      <c r="G85" s="1" t="s">
        <v>21</v>
      </c>
      <c r="H85" s="1" t="s">
        <v>44</v>
      </c>
      <c r="I85" s="1" t="s">
        <v>20</v>
      </c>
      <c r="J85" s="1" t="s">
        <v>369</v>
      </c>
      <c r="K85" s="1" t="s">
        <v>74</v>
      </c>
      <c r="L85" s="1" t="s">
        <v>203</v>
      </c>
      <c r="M85" s="1" t="s">
        <v>24</v>
      </c>
      <c r="N85" s="1" t="s">
        <v>24</v>
      </c>
      <c r="P85" s="3">
        <f t="shared" si="1"/>
        <v>0.675</v>
      </c>
      <c r="Q85" s="3">
        <f t="shared" si="2"/>
        <v>1</v>
      </c>
      <c r="R85" s="3">
        <f t="shared" si="3"/>
        <v>0.6875</v>
      </c>
      <c r="T85" s="3">
        <f t="shared" si="4"/>
        <v>0.54</v>
      </c>
      <c r="U85" s="3">
        <f t="shared" si="5"/>
        <v>1.6</v>
      </c>
      <c r="V85" s="3">
        <f t="shared" si="6"/>
        <v>0.22</v>
      </c>
    </row>
    <row r="86">
      <c r="A86" s="1" t="s">
        <v>482</v>
      </c>
      <c r="B86" s="1" t="s">
        <v>84</v>
      </c>
      <c r="C86" s="1" t="s">
        <v>21</v>
      </c>
      <c r="D86" s="1" t="s">
        <v>21</v>
      </c>
      <c r="E86" s="1" t="s">
        <v>22</v>
      </c>
      <c r="F86" s="1" t="s">
        <v>42</v>
      </c>
      <c r="G86" s="1" t="s">
        <v>22</v>
      </c>
      <c r="H86" s="1" t="s">
        <v>410</v>
      </c>
      <c r="I86" s="1" t="s">
        <v>20</v>
      </c>
      <c r="J86" s="1" t="s">
        <v>360</v>
      </c>
      <c r="K86" s="1" t="s">
        <v>43</v>
      </c>
      <c r="L86" s="1" t="s">
        <v>116</v>
      </c>
      <c r="M86" s="1" t="s">
        <v>24</v>
      </c>
      <c r="N86" s="1" t="s">
        <v>24</v>
      </c>
      <c r="P86" s="3">
        <f t="shared" si="1"/>
        <v>0.775</v>
      </c>
      <c r="Q86" s="3">
        <f t="shared" si="2"/>
        <v>0.825</v>
      </c>
      <c r="R86" s="3">
        <f t="shared" si="3"/>
        <v>0.9625</v>
      </c>
      <c r="T86" s="3">
        <f t="shared" si="4"/>
        <v>0.62</v>
      </c>
      <c r="U86" s="3">
        <f t="shared" si="5"/>
        <v>1.32</v>
      </c>
      <c r="V86" s="3">
        <f t="shared" si="6"/>
        <v>0.308</v>
      </c>
    </row>
    <row r="87">
      <c r="A87" s="1" t="s">
        <v>483</v>
      </c>
      <c r="B87" s="1" t="s">
        <v>84</v>
      </c>
      <c r="C87" s="1" t="s">
        <v>21</v>
      </c>
      <c r="D87" s="1" t="s">
        <v>21</v>
      </c>
      <c r="E87" s="1" t="s">
        <v>22</v>
      </c>
      <c r="F87" s="1" t="s">
        <v>21</v>
      </c>
      <c r="G87" s="1" t="s">
        <v>20</v>
      </c>
      <c r="H87" s="1" t="s">
        <v>45</v>
      </c>
      <c r="I87" s="1" t="s">
        <v>22</v>
      </c>
      <c r="J87" s="1" t="s">
        <v>425</v>
      </c>
      <c r="K87" s="1" t="s">
        <v>82</v>
      </c>
      <c r="L87" s="1" t="s">
        <v>198</v>
      </c>
      <c r="M87" s="1" t="s">
        <v>206</v>
      </c>
      <c r="N87" s="1" t="s">
        <v>206</v>
      </c>
      <c r="P87" s="3">
        <f t="shared" si="1"/>
        <v>0.65</v>
      </c>
      <c r="Q87" s="3">
        <f t="shared" si="2"/>
        <v>0.9</v>
      </c>
      <c r="R87" s="3">
        <f t="shared" si="3"/>
        <v>0.8125</v>
      </c>
      <c r="T87" s="3">
        <f t="shared" si="4"/>
        <v>0.52</v>
      </c>
      <c r="U87" s="3">
        <f t="shared" si="5"/>
        <v>1.44</v>
      </c>
      <c r="V87" s="3">
        <f t="shared" si="6"/>
        <v>0.26</v>
      </c>
    </row>
    <row r="88">
      <c r="A88" s="1" t="s">
        <v>484</v>
      </c>
      <c r="B88" s="1" t="s">
        <v>84</v>
      </c>
      <c r="C88" s="1" t="s">
        <v>42</v>
      </c>
      <c r="D88" s="1" t="s">
        <v>21</v>
      </c>
      <c r="E88" s="1" t="s">
        <v>24</v>
      </c>
      <c r="F88" s="1" t="s">
        <v>20</v>
      </c>
      <c r="G88" s="1" t="s">
        <v>20</v>
      </c>
      <c r="H88" s="1" t="s">
        <v>485</v>
      </c>
      <c r="I88" s="1" t="s">
        <v>20</v>
      </c>
      <c r="J88" s="1" t="s">
        <v>364</v>
      </c>
      <c r="K88" s="1" t="s">
        <v>43</v>
      </c>
      <c r="L88" s="1" t="s">
        <v>120</v>
      </c>
      <c r="M88" s="1" t="s">
        <v>24</v>
      </c>
      <c r="N88" s="1" t="s">
        <v>24</v>
      </c>
      <c r="P88" s="3">
        <f t="shared" si="1"/>
        <v>0.9375</v>
      </c>
      <c r="Q88" s="3">
        <f t="shared" si="2"/>
        <v>0.7625</v>
      </c>
      <c r="R88" s="3">
        <f t="shared" si="3"/>
        <v>0.725</v>
      </c>
      <c r="T88" s="3">
        <f t="shared" si="4"/>
        <v>0.75</v>
      </c>
      <c r="U88" s="3">
        <f t="shared" si="5"/>
        <v>1.22</v>
      </c>
      <c r="V88" s="3">
        <f t="shared" si="6"/>
        <v>0.232</v>
      </c>
    </row>
    <row r="89">
      <c r="A89" s="1" t="s">
        <v>486</v>
      </c>
      <c r="B89" s="1" t="s">
        <v>84</v>
      </c>
      <c r="C89" s="1" t="s">
        <v>24</v>
      </c>
      <c r="D89" s="1" t="s">
        <v>22</v>
      </c>
      <c r="E89" s="1" t="s">
        <v>20</v>
      </c>
      <c r="F89" s="1" t="s">
        <v>22</v>
      </c>
      <c r="G89" s="1" t="s">
        <v>21</v>
      </c>
      <c r="H89" s="1" t="s">
        <v>474</v>
      </c>
      <c r="I89" s="1" t="s">
        <v>42</v>
      </c>
      <c r="J89" s="1" t="s">
        <v>415</v>
      </c>
      <c r="K89" s="1" t="s">
        <v>300</v>
      </c>
      <c r="L89" s="1" t="s">
        <v>276</v>
      </c>
      <c r="M89" s="1" t="s">
        <v>206</v>
      </c>
      <c r="N89" s="1" t="s">
        <v>206</v>
      </c>
      <c r="P89" s="3">
        <f t="shared" si="1"/>
        <v>0.6375</v>
      </c>
      <c r="Q89" s="3">
        <f t="shared" si="2"/>
        <v>0.7125</v>
      </c>
      <c r="R89" s="3">
        <f t="shared" si="3"/>
        <v>0.85</v>
      </c>
      <c r="T89" s="3">
        <f t="shared" si="4"/>
        <v>0.51</v>
      </c>
      <c r="U89" s="3">
        <f t="shared" si="5"/>
        <v>1.14</v>
      </c>
      <c r="V89" s="3">
        <f t="shared" si="6"/>
        <v>0.272</v>
      </c>
    </row>
    <row r="90">
      <c r="A90" s="1" t="s">
        <v>487</v>
      </c>
      <c r="B90" s="1" t="s">
        <v>84</v>
      </c>
      <c r="C90" s="1" t="s">
        <v>20</v>
      </c>
      <c r="D90" s="1" t="s">
        <v>20</v>
      </c>
      <c r="E90" s="1" t="s">
        <v>21</v>
      </c>
      <c r="F90" s="1" t="s">
        <v>20</v>
      </c>
      <c r="G90" s="1" t="s">
        <v>22</v>
      </c>
      <c r="H90" s="1" t="s">
        <v>52</v>
      </c>
      <c r="I90" s="1" t="s">
        <v>22</v>
      </c>
      <c r="J90" s="1" t="s">
        <v>425</v>
      </c>
      <c r="K90" s="1" t="s">
        <v>74</v>
      </c>
      <c r="L90" s="1" t="s">
        <v>129</v>
      </c>
      <c r="M90" s="1" t="s">
        <v>24</v>
      </c>
      <c r="N90" s="1" t="s">
        <v>206</v>
      </c>
      <c r="P90" s="3">
        <f t="shared" si="1"/>
        <v>0.875</v>
      </c>
      <c r="Q90" s="3">
        <f t="shared" si="2"/>
        <v>0.775</v>
      </c>
      <c r="R90" s="3">
        <f t="shared" si="3"/>
        <v>0.9125</v>
      </c>
      <c r="T90" s="3">
        <f t="shared" si="4"/>
        <v>0.7</v>
      </c>
      <c r="U90" s="3">
        <f t="shared" si="5"/>
        <v>1.24</v>
      </c>
      <c r="V90" s="3">
        <f t="shared" si="6"/>
        <v>0.292</v>
      </c>
    </row>
    <row r="91">
      <c r="A91" s="1" t="s">
        <v>488</v>
      </c>
      <c r="B91" s="1" t="s">
        <v>84</v>
      </c>
      <c r="C91" s="1" t="s">
        <v>22</v>
      </c>
      <c r="D91" s="1" t="s">
        <v>24</v>
      </c>
      <c r="E91" s="1" t="s">
        <v>21</v>
      </c>
      <c r="F91" s="1" t="s">
        <v>42</v>
      </c>
      <c r="G91" s="1" t="s">
        <v>20</v>
      </c>
      <c r="H91" s="1" t="s">
        <v>266</v>
      </c>
      <c r="I91" s="1" t="s">
        <v>22</v>
      </c>
      <c r="J91" s="1" t="s">
        <v>415</v>
      </c>
      <c r="K91" s="1" t="s">
        <v>82</v>
      </c>
      <c r="L91" s="1" t="s">
        <v>136</v>
      </c>
      <c r="M91" s="1" t="s">
        <v>206</v>
      </c>
      <c r="N91" s="1" t="s">
        <v>206</v>
      </c>
      <c r="P91" s="3">
        <f t="shared" si="1"/>
        <v>0.95</v>
      </c>
      <c r="Q91" s="3">
        <f t="shared" si="2"/>
        <v>0.825</v>
      </c>
      <c r="R91" s="3">
        <f t="shared" si="3"/>
        <v>0.8375</v>
      </c>
      <c r="T91" s="3">
        <f t="shared" si="4"/>
        <v>0.76</v>
      </c>
      <c r="U91" s="3">
        <f t="shared" si="5"/>
        <v>1.32</v>
      </c>
      <c r="V91" s="3">
        <f t="shared" si="6"/>
        <v>0.268</v>
      </c>
    </row>
    <row r="92">
      <c r="A92" s="1" t="s">
        <v>489</v>
      </c>
      <c r="B92" s="1" t="s">
        <v>84</v>
      </c>
      <c r="C92" s="1" t="s">
        <v>24</v>
      </c>
      <c r="D92" s="1" t="s">
        <v>21</v>
      </c>
      <c r="E92" s="1" t="s">
        <v>21</v>
      </c>
      <c r="F92" s="1" t="s">
        <v>20</v>
      </c>
      <c r="G92" s="1" t="s">
        <v>42</v>
      </c>
      <c r="H92" s="1" t="s">
        <v>97</v>
      </c>
      <c r="I92" s="1" t="s">
        <v>42</v>
      </c>
      <c r="J92" s="1" t="s">
        <v>381</v>
      </c>
      <c r="K92" s="1" t="s">
        <v>300</v>
      </c>
      <c r="L92" s="1" t="s">
        <v>284</v>
      </c>
      <c r="M92" s="1" t="s">
        <v>206</v>
      </c>
      <c r="N92" s="1" t="s">
        <v>206</v>
      </c>
      <c r="P92" s="3">
        <f t="shared" si="1"/>
        <v>0.725</v>
      </c>
      <c r="Q92" s="3">
        <f t="shared" si="2"/>
        <v>0.65</v>
      </c>
      <c r="R92" s="3">
        <f t="shared" si="3"/>
        <v>0.9125</v>
      </c>
      <c r="T92" s="3">
        <f t="shared" si="4"/>
        <v>0.58</v>
      </c>
      <c r="U92" s="3">
        <f t="shared" si="5"/>
        <v>1.04</v>
      </c>
      <c r="V92" s="3">
        <f t="shared" si="6"/>
        <v>0.292</v>
      </c>
    </row>
    <row r="93">
      <c r="A93" s="1" t="s">
        <v>490</v>
      </c>
      <c r="B93" s="1" t="s">
        <v>84</v>
      </c>
      <c r="C93" s="1" t="s">
        <v>20</v>
      </c>
      <c r="D93" s="1" t="s">
        <v>20</v>
      </c>
      <c r="E93" s="1" t="s">
        <v>20</v>
      </c>
      <c r="F93" s="1" t="s">
        <v>22</v>
      </c>
      <c r="G93" s="1" t="s">
        <v>24</v>
      </c>
      <c r="H93" s="1" t="s">
        <v>383</v>
      </c>
      <c r="I93" s="1" t="s">
        <v>42</v>
      </c>
      <c r="J93" s="1" t="s">
        <v>457</v>
      </c>
      <c r="K93" s="1" t="s">
        <v>23</v>
      </c>
      <c r="L93" s="1" t="s">
        <v>177</v>
      </c>
      <c r="M93" s="1" t="s">
        <v>24</v>
      </c>
      <c r="N93" s="1" t="s">
        <v>206</v>
      </c>
      <c r="P93" s="3">
        <f t="shared" si="1"/>
        <v>0.7625</v>
      </c>
      <c r="Q93" s="3">
        <f t="shared" si="2"/>
        <v>0.8625</v>
      </c>
      <c r="R93" s="3">
        <f t="shared" si="3"/>
        <v>0.775</v>
      </c>
      <c r="T93" s="3">
        <f t="shared" si="4"/>
        <v>0.61</v>
      </c>
      <c r="U93" s="3">
        <f t="shared" si="5"/>
        <v>1.38</v>
      </c>
      <c r="V93" s="3">
        <f t="shared" si="6"/>
        <v>0.248</v>
      </c>
    </row>
    <row r="94">
      <c r="A94" s="1" t="s">
        <v>491</v>
      </c>
      <c r="B94" s="1" t="s">
        <v>84</v>
      </c>
      <c r="C94" s="1" t="s">
        <v>42</v>
      </c>
      <c r="D94" s="1" t="s">
        <v>21</v>
      </c>
      <c r="E94" s="1" t="s">
        <v>20</v>
      </c>
      <c r="F94" s="1" t="s">
        <v>42</v>
      </c>
      <c r="G94" s="1" t="s">
        <v>20</v>
      </c>
      <c r="H94" s="1" t="s">
        <v>383</v>
      </c>
      <c r="I94" s="1" t="s">
        <v>22</v>
      </c>
      <c r="J94" s="1" t="s">
        <v>349</v>
      </c>
      <c r="K94" s="1" t="s">
        <v>43</v>
      </c>
      <c r="L94" s="1" t="s">
        <v>177</v>
      </c>
      <c r="M94" s="1" t="s">
        <v>206</v>
      </c>
      <c r="N94" s="1" t="s">
        <v>24</v>
      </c>
      <c r="P94" s="3">
        <f t="shared" si="1"/>
        <v>0.9375</v>
      </c>
      <c r="Q94" s="3">
        <f t="shared" si="2"/>
        <v>0.8625</v>
      </c>
      <c r="R94" s="3">
        <f t="shared" si="3"/>
        <v>0.825</v>
      </c>
      <c r="T94" s="3">
        <f t="shared" si="4"/>
        <v>0.75</v>
      </c>
      <c r="U94" s="3">
        <f t="shared" si="5"/>
        <v>1.38</v>
      </c>
      <c r="V94" s="3">
        <f t="shared" si="6"/>
        <v>0.264</v>
      </c>
    </row>
    <row r="95">
      <c r="A95" s="1" t="s">
        <v>492</v>
      </c>
      <c r="B95" s="1" t="s">
        <v>84</v>
      </c>
      <c r="C95" s="1" t="s">
        <v>21</v>
      </c>
      <c r="D95" s="1" t="s">
        <v>24</v>
      </c>
      <c r="E95" s="1" t="s">
        <v>42</v>
      </c>
      <c r="F95" s="1" t="s">
        <v>20</v>
      </c>
      <c r="G95" s="1" t="s">
        <v>22</v>
      </c>
      <c r="H95" s="1" t="s">
        <v>166</v>
      </c>
      <c r="I95" s="1" t="s">
        <v>22</v>
      </c>
      <c r="J95" s="1" t="s">
        <v>349</v>
      </c>
      <c r="K95" s="1" t="s">
        <v>300</v>
      </c>
      <c r="L95" s="1" t="s">
        <v>311</v>
      </c>
      <c r="M95" s="1" t="s">
        <v>24</v>
      </c>
      <c r="N95" s="1" t="s">
        <v>24</v>
      </c>
      <c r="P95" s="3">
        <f t="shared" si="1"/>
        <v>0.625</v>
      </c>
      <c r="Q95" s="3">
        <f t="shared" si="2"/>
        <v>0.9</v>
      </c>
      <c r="R95" s="3">
        <f t="shared" si="3"/>
        <v>0.8375</v>
      </c>
      <c r="T95" s="3">
        <f t="shared" si="4"/>
        <v>0.5</v>
      </c>
      <c r="U95" s="3">
        <f t="shared" si="5"/>
        <v>1.44</v>
      </c>
      <c r="V95" s="3">
        <f t="shared" si="6"/>
        <v>0.268</v>
      </c>
    </row>
    <row r="96">
      <c r="A96" s="1" t="s">
        <v>493</v>
      </c>
      <c r="B96" s="1" t="s">
        <v>84</v>
      </c>
      <c r="C96" s="1" t="s">
        <v>21</v>
      </c>
      <c r="D96" s="1" t="s">
        <v>21</v>
      </c>
      <c r="E96" s="1" t="s">
        <v>42</v>
      </c>
      <c r="F96" s="1" t="s">
        <v>20</v>
      </c>
      <c r="G96" s="1" t="s">
        <v>22</v>
      </c>
      <c r="H96" s="1" t="s">
        <v>372</v>
      </c>
      <c r="I96" s="1" t="s">
        <v>42</v>
      </c>
      <c r="J96" s="1" t="s">
        <v>415</v>
      </c>
      <c r="K96" s="1" t="s">
        <v>82</v>
      </c>
      <c r="L96" s="1" t="s">
        <v>279</v>
      </c>
      <c r="M96" s="1" t="s">
        <v>24</v>
      </c>
      <c r="N96" s="1" t="s">
        <v>24</v>
      </c>
      <c r="P96" s="3">
        <f t="shared" si="1"/>
        <v>0.6375</v>
      </c>
      <c r="Q96" s="3">
        <f t="shared" si="2"/>
        <v>0.8875</v>
      </c>
      <c r="R96" s="3">
        <f t="shared" si="3"/>
        <v>0.875</v>
      </c>
      <c r="T96" s="3">
        <f t="shared" si="4"/>
        <v>0.51</v>
      </c>
      <c r="U96" s="3">
        <f t="shared" si="5"/>
        <v>1.42</v>
      </c>
      <c r="V96" s="3">
        <f t="shared" si="6"/>
        <v>0.28</v>
      </c>
    </row>
    <row r="97">
      <c r="A97" s="1" t="s">
        <v>494</v>
      </c>
      <c r="B97" s="1" t="s">
        <v>84</v>
      </c>
      <c r="C97" s="1" t="s">
        <v>21</v>
      </c>
      <c r="D97" s="1" t="s">
        <v>21</v>
      </c>
      <c r="E97" s="1" t="s">
        <v>42</v>
      </c>
      <c r="F97" s="1" t="s">
        <v>20</v>
      </c>
      <c r="G97" s="1" t="s">
        <v>22</v>
      </c>
      <c r="H97" s="1" t="s">
        <v>374</v>
      </c>
      <c r="I97" s="1" t="s">
        <v>42</v>
      </c>
      <c r="J97" s="1" t="s">
        <v>360</v>
      </c>
      <c r="K97" s="1" t="s">
        <v>300</v>
      </c>
      <c r="L97" s="1" t="s">
        <v>297</v>
      </c>
      <c r="M97" s="1" t="s">
        <v>206</v>
      </c>
      <c r="N97" s="1" t="s">
        <v>24</v>
      </c>
      <c r="P97" s="3">
        <f t="shared" si="1"/>
        <v>0.6375</v>
      </c>
      <c r="Q97" s="3">
        <f t="shared" si="2"/>
        <v>0.8875</v>
      </c>
      <c r="R97" s="3">
        <f t="shared" si="3"/>
        <v>0.875</v>
      </c>
      <c r="T97" s="3">
        <f t="shared" si="4"/>
        <v>0.51</v>
      </c>
      <c r="U97" s="3">
        <f t="shared" si="5"/>
        <v>1.42</v>
      </c>
      <c r="V97" s="3">
        <f t="shared" si="6"/>
        <v>0.28</v>
      </c>
    </row>
    <row r="98">
      <c r="A98" s="1" t="s">
        <v>495</v>
      </c>
      <c r="B98" s="1" t="s">
        <v>84</v>
      </c>
      <c r="C98" s="1" t="s">
        <v>42</v>
      </c>
      <c r="D98" s="1" t="s">
        <v>20</v>
      </c>
      <c r="E98" s="1" t="s">
        <v>20</v>
      </c>
      <c r="F98" s="1" t="s">
        <v>22</v>
      </c>
      <c r="G98" s="1" t="s">
        <v>24</v>
      </c>
      <c r="H98" s="1" t="s">
        <v>496</v>
      </c>
      <c r="I98" s="1" t="s">
        <v>20</v>
      </c>
      <c r="J98" s="1" t="s">
        <v>433</v>
      </c>
      <c r="K98" s="1" t="s">
        <v>43</v>
      </c>
      <c r="L98" s="1" t="s">
        <v>177</v>
      </c>
      <c r="M98" s="1" t="s">
        <v>206</v>
      </c>
      <c r="N98" s="1" t="s">
        <v>24</v>
      </c>
      <c r="P98" s="3">
        <f t="shared" si="1"/>
        <v>0.8125</v>
      </c>
      <c r="Q98" s="3">
        <f t="shared" si="2"/>
        <v>0.8625</v>
      </c>
      <c r="R98" s="3">
        <f t="shared" si="3"/>
        <v>0.675</v>
      </c>
      <c r="T98" s="3">
        <f t="shared" si="4"/>
        <v>0.65</v>
      </c>
      <c r="U98" s="3">
        <f t="shared" si="5"/>
        <v>1.38</v>
      </c>
      <c r="V98" s="3">
        <f t="shared" si="6"/>
        <v>0.216</v>
      </c>
    </row>
    <row r="99">
      <c r="A99" s="1" t="s">
        <v>497</v>
      </c>
      <c r="B99" s="1" t="s">
        <v>84</v>
      </c>
      <c r="C99" s="1" t="s">
        <v>22</v>
      </c>
      <c r="D99" s="1" t="s">
        <v>20</v>
      </c>
      <c r="E99" s="1" t="s">
        <v>22</v>
      </c>
      <c r="F99" s="1" t="s">
        <v>21</v>
      </c>
      <c r="G99" s="1" t="s">
        <v>24</v>
      </c>
      <c r="H99" s="1" t="s">
        <v>26</v>
      </c>
      <c r="I99" s="1" t="s">
        <v>22</v>
      </c>
      <c r="J99" s="1" t="s">
        <v>415</v>
      </c>
      <c r="K99" s="1" t="s">
        <v>43</v>
      </c>
      <c r="L99" s="1" t="s">
        <v>17</v>
      </c>
      <c r="M99" s="1" t="s">
        <v>206</v>
      </c>
      <c r="N99" s="1" t="s">
        <v>24</v>
      </c>
      <c r="P99" s="3">
        <f t="shared" si="1"/>
        <v>0.6375</v>
      </c>
      <c r="Q99" s="3">
        <f t="shared" si="2"/>
        <v>0.9125</v>
      </c>
      <c r="R99" s="3">
        <f t="shared" si="3"/>
        <v>0.625</v>
      </c>
      <c r="T99" s="3">
        <f t="shared" si="4"/>
        <v>0.51</v>
      </c>
      <c r="U99" s="3">
        <f t="shared" si="5"/>
        <v>1.46</v>
      </c>
      <c r="V99" s="3">
        <f t="shared" si="6"/>
        <v>0.2</v>
      </c>
    </row>
    <row r="100">
      <c r="A100" s="1" t="s">
        <v>498</v>
      </c>
      <c r="B100" s="1" t="s">
        <v>84</v>
      </c>
      <c r="C100" s="1" t="s">
        <v>21</v>
      </c>
      <c r="D100" s="1" t="s">
        <v>20</v>
      </c>
      <c r="E100" s="1" t="s">
        <v>22</v>
      </c>
      <c r="F100" s="1" t="s">
        <v>42</v>
      </c>
      <c r="G100" s="1" t="s">
        <v>42</v>
      </c>
      <c r="H100" s="1" t="s">
        <v>391</v>
      </c>
      <c r="I100" s="1" t="s">
        <v>20</v>
      </c>
      <c r="J100" s="1" t="s">
        <v>499</v>
      </c>
      <c r="K100" s="1" t="s">
        <v>43</v>
      </c>
      <c r="L100" s="1" t="s">
        <v>302</v>
      </c>
      <c r="M100" s="1" t="s">
        <v>206</v>
      </c>
      <c r="N100" s="1" t="s">
        <v>24</v>
      </c>
      <c r="P100" s="3">
        <f t="shared" si="1"/>
        <v>0.75</v>
      </c>
      <c r="Q100" s="3">
        <f t="shared" si="2"/>
        <v>0.725</v>
      </c>
      <c r="R100" s="3">
        <f t="shared" si="3"/>
        <v>0.9875</v>
      </c>
      <c r="T100" s="3">
        <f t="shared" si="4"/>
        <v>0.6</v>
      </c>
      <c r="U100" s="3">
        <f t="shared" si="5"/>
        <v>1.16</v>
      </c>
      <c r="V100" s="3">
        <f t="shared" si="6"/>
        <v>0.316</v>
      </c>
    </row>
    <row r="101">
      <c r="A101" s="1" t="s">
        <v>500</v>
      </c>
      <c r="B101" s="1" t="s">
        <v>46</v>
      </c>
      <c r="C101" s="1" t="s">
        <v>21</v>
      </c>
      <c r="D101" s="1" t="s">
        <v>21</v>
      </c>
      <c r="E101" s="1" t="s">
        <v>22</v>
      </c>
      <c r="F101" s="1" t="s">
        <v>20</v>
      </c>
      <c r="G101" s="1" t="s">
        <v>22</v>
      </c>
      <c r="H101" s="1" t="s">
        <v>105</v>
      </c>
      <c r="I101" s="1" t="s">
        <v>42</v>
      </c>
      <c r="J101" s="1" t="s">
        <v>389</v>
      </c>
      <c r="K101" s="1" t="s">
        <v>300</v>
      </c>
      <c r="L101" s="1" t="s">
        <v>322</v>
      </c>
      <c r="M101" s="1" t="s">
        <v>206</v>
      </c>
      <c r="N101" s="1" t="s">
        <v>24</v>
      </c>
      <c r="P101" s="3">
        <f t="shared" si="1"/>
        <v>0.725</v>
      </c>
      <c r="Q101" s="3">
        <f t="shared" si="2"/>
        <v>0.875</v>
      </c>
      <c r="R101" s="3">
        <f t="shared" si="3"/>
        <v>0.9125</v>
      </c>
      <c r="T101" s="3">
        <f t="shared" si="4"/>
        <v>0.58</v>
      </c>
      <c r="U101" s="3">
        <f t="shared" si="5"/>
        <v>1.4</v>
      </c>
      <c r="V101" s="3">
        <f t="shared" si="6"/>
        <v>0.292</v>
      </c>
    </row>
    <row r="102">
      <c r="A102" s="1" t="s">
        <v>501</v>
      </c>
      <c r="B102" s="1" t="s">
        <v>46</v>
      </c>
      <c r="C102" s="1" t="s">
        <v>20</v>
      </c>
      <c r="D102" s="1" t="s">
        <v>24</v>
      </c>
      <c r="E102" s="1" t="s">
        <v>21</v>
      </c>
      <c r="F102" s="1" t="s">
        <v>20</v>
      </c>
      <c r="G102" s="1" t="s">
        <v>24</v>
      </c>
      <c r="H102" s="1" t="s">
        <v>383</v>
      </c>
      <c r="I102" s="1" t="s">
        <v>20</v>
      </c>
      <c r="J102" s="1" t="s">
        <v>369</v>
      </c>
      <c r="K102" s="1" t="s">
        <v>300</v>
      </c>
      <c r="L102" s="1" t="s">
        <v>64</v>
      </c>
      <c r="M102" s="1" t="s">
        <v>24</v>
      </c>
      <c r="N102" s="1" t="s">
        <v>24</v>
      </c>
      <c r="P102" s="3">
        <f t="shared" si="1"/>
        <v>0.7625</v>
      </c>
      <c r="Q102" s="3">
        <f t="shared" si="2"/>
        <v>0.8625</v>
      </c>
      <c r="R102" s="3">
        <f t="shared" si="3"/>
        <v>0.675</v>
      </c>
      <c r="T102" s="3">
        <f t="shared" si="4"/>
        <v>0.61</v>
      </c>
      <c r="U102" s="3">
        <f t="shared" si="5"/>
        <v>1.38</v>
      </c>
      <c r="V102" s="3">
        <f t="shared" si="6"/>
        <v>0.216</v>
      </c>
    </row>
    <row r="103">
      <c r="A103" s="1" t="s">
        <v>502</v>
      </c>
      <c r="B103" s="1" t="s">
        <v>46</v>
      </c>
      <c r="C103" s="1" t="s">
        <v>42</v>
      </c>
      <c r="D103" s="1" t="s">
        <v>24</v>
      </c>
      <c r="E103" s="1" t="s">
        <v>24</v>
      </c>
      <c r="F103" s="1" t="s">
        <v>22</v>
      </c>
      <c r="G103" s="1" t="s">
        <v>21</v>
      </c>
      <c r="H103" s="1" t="s">
        <v>357</v>
      </c>
      <c r="I103" s="1" t="s">
        <v>22</v>
      </c>
      <c r="J103" s="1" t="s">
        <v>457</v>
      </c>
      <c r="K103" s="1" t="s">
        <v>300</v>
      </c>
      <c r="L103" s="1" t="s">
        <v>30</v>
      </c>
      <c r="M103" s="1" t="s">
        <v>206</v>
      </c>
      <c r="N103" s="1" t="s">
        <v>206</v>
      </c>
      <c r="P103" s="3">
        <f t="shared" si="1"/>
        <v>0.925</v>
      </c>
      <c r="Q103" s="3">
        <f t="shared" si="2"/>
        <v>0.775</v>
      </c>
      <c r="R103" s="3">
        <f t="shared" si="3"/>
        <v>0.6625</v>
      </c>
      <c r="T103" s="3">
        <f t="shared" si="4"/>
        <v>0.74</v>
      </c>
      <c r="U103" s="3">
        <f t="shared" si="5"/>
        <v>1.24</v>
      </c>
      <c r="V103" s="3">
        <f t="shared" si="6"/>
        <v>0.212</v>
      </c>
    </row>
    <row r="104">
      <c r="A104" s="1" t="s">
        <v>503</v>
      </c>
      <c r="B104" s="1" t="s">
        <v>46</v>
      </c>
      <c r="C104" s="1" t="s">
        <v>20</v>
      </c>
      <c r="D104" s="1" t="s">
        <v>20</v>
      </c>
      <c r="E104" s="1" t="s">
        <v>22</v>
      </c>
      <c r="F104" s="1" t="s">
        <v>24</v>
      </c>
      <c r="G104" s="1" t="s">
        <v>21</v>
      </c>
      <c r="H104" s="1" t="s">
        <v>261</v>
      </c>
      <c r="I104" s="1" t="s">
        <v>42</v>
      </c>
      <c r="J104" s="1" t="s">
        <v>360</v>
      </c>
      <c r="K104" s="1" t="s">
        <v>23</v>
      </c>
      <c r="L104" s="1" t="s">
        <v>94</v>
      </c>
      <c r="M104" s="1" t="s">
        <v>206</v>
      </c>
      <c r="N104" s="1" t="s">
        <v>24</v>
      </c>
      <c r="P104" s="3">
        <f t="shared" si="1"/>
        <v>0.575</v>
      </c>
      <c r="Q104" s="3">
        <f t="shared" si="2"/>
        <v>0.875</v>
      </c>
      <c r="R104" s="3">
        <f t="shared" si="3"/>
        <v>0.6625</v>
      </c>
      <c r="T104" s="3">
        <f t="shared" si="4"/>
        <v>0.46</v>
      </c>
      <c r="U104" s="3">
        <f t="shared" si="5"/>
        <v>1.4</v>
      </c>
      <c r="V104" s="3">
        <f t="shared" si="6"/>
        <v>0.212</v>
      </c>
    </row>
    <row r="105">
      <c r="A105" s="1" t="s">
        <v>504</v>
      </c>
      <c r="B105" s="1" t="s">
        <v>46</v>
      </c>
      <c r="C105" s="1" t="s">
        <v>22</v>
      </c>
      <c r="D105" s="1" t="s">
        <v>24</v>
      </c>
      <c r="E105" s="1" t="s">
        <v>21</v>
      </c>
      <c r="F105" s="1" t="s">
        <v>22</v>
      </c>
      <c r="G105" s="1" t="s">
        <v>20</v>
      </c>
      <c r="H105" s="1" t="s">
        <v>505</v>
      </c>
      <c r="I105" s="1" t="s">
        <v>22</v>
      </c>
      <c r="J105" s="1" t="s">
        <v>362</v>
      </c>
      <c r="K105" s="1" t="s">
        <v>74</v>
      </c>
      <c r="L105" s="1" t="s">
        <v>30</v>
      </c>
      <c r="M105" s="1" t="s">
        <v>24</v>
      </c>
      <c r="N105" s="1" t="s">
        <v>24</v>
      </c>
      <c r="P105" s="3">
        <f t="shared" si="1"/>
        <v>0.9375</v>
      </c>
      <c r="Q105" s="3">
        <f t="shared" si="2"/>
        <v>0.8625</v>
      </c>
      <c r="R105" s="3">
        <f t="shared" si="3"/>
        <v>0.825</v>
      </c>
      <c r="T105" s="3">
        <f t="shared" si="4"/>
        <v>0.75</v>
      </c>
      <c r="U105" s="3">
        <f t="shared" si="5"/>
        <v>1.38</v>
      </c>
      <c r="V105" s="3">
        <f t="shared" si="6"/>
        <v>0.264</v>
      </c>
    </row>
    <row r="106">
      <c r="A106" s="1" t="s">
        <v>506</v>
      </c>
      <c r="B106" s="1" t="s">
        <v>46</v>
      </c>
      <c r="C106" s="1" t="s">
        <v>20</v>
      </c>
      <c r="D106" s="1" t="s">
        <v>24</v>
      </c>
      <c r="E106" s="1" t="s">
        <v>21</v>
      </c>
      <c r="F106" s="1" t="s">
        <v>42</v>
      </c>
      <c r="G106" s="1" t="s">
        <v>21</v>
      </c>
      <c r="H106" s="1" t="s">
        <v>107</v>
      </c>
      <c r="I106" s="1" t="s">
        <v>42</v>
      </c>
      <c r="J106" s="1" t="s">
        <v>507</v>
      </c>
      <c r="K106" s="1" t="s">
        <v>300</v>
      </c>
      <c r="L106" s="1" t="s">
        <v>290</v>
      </c>
      <c r="M106" s="1" t="s">
        <v>24</v>
      </c>
      <c r="N106" s="1" t="s">
        <v>24</v>
      </c>
      <c r="P106" s="3">
        <f t="shared" si="1"/>
        <v>0.875</v>
      </c>
      <c r="Q106" s="3">
        <f t="shared" si="2"/>
        <v>0.825</v>
      </c>
      <c r="R106" s="3">
        <f t="shared" si="3"/>
        <v>0.8125</v>
      </c>
      <c r="T106" s="3">
        <f t="shared" si="4"/>
        <v>0.7</v>
      </c>
      <c r="U106" s="3">
        <f t="shared" si="5"/>
        <v>1.32</v>
      </c>
      <c r="V106" s="3">
        <f t="shared" si="6"/>
        <v>0.26</v>
      </c>
    </row>
    <row r="107">
      <c r="A107" s="1" t="s">
        <v>508</v>
      </c>
      <c r="B107" s="1" t="s">
        <v>46</v>
      </c>
      <c r="C107" s="1" t="s">
        <v>21</v>
      </c>
      <c r="D107" s="1" t="s">
        <v>24</v>
      </c>
      <c r="E107" s="1" t="s">
        <v>42</v>
      </c>
      <c r="F107" s="1" t="s">
        <v>20</v>
      </c>
      <c r="G107" s="1" t="s">
        <v>20</v>
      </c>
      <c r="H107" s="1" t="s">
        <v>261</v>
      </c>
      <c r="I107" s="1" t="s">
        <v>22</v>
      </c>
      <c r="J107" s="1" t="s">
        <v>471</v>
      </c>
      <c r="K107" s="1" t="s">
        <v>82</v>
      </c>
      <c r="L107" s="1" t="s">
        <v>316</v>
      </c>
      <c r="M107" s="1" t="s">
        <v>24</v>
      </c>
      <c r="N107" s="1" t="s">
        <v>24</v>
      </c>
      <c r="P107" s="3">
        <f t="shared" si="1"/>
        <v>0.6125</v>
      </c>
      <c r="Q107" s="3">
        <f t="shared" si="2"/>
        <v>0.9375</v>
      </c>
      <c r="R107" s="3">
        <f t="shared" si="3"/>
        <v>0.8</v>
      </c>
      <c r="T107" s="3">
        <f t="shared" si="4"/>
        <v>0.49</v>
      </c>
      <c r="U107" s="3">
        <f t="shared" si="5"/>
        <v>1.5</v>
      </c>
      <c r="V107" s="3">
        <f t="shared" si="6"/>
        <v>0.256</v>
      </c>
    </row>
    <row r="108">
      <c r="A108" s="1" t="s">
        <v>509</v>
      </c>
      <c r="B108" s="1" t="s">
        <v>46</v>
      </c>
      <c r="C108" s="1" t="s">
        <v>22</v>
      </c>
      <c r="D108" s="1" t="s">
        <v>21</v>
      </c>
      <c r="E108" s="1" t="s">
        <v>24</v>
      </c>
      <c r="F108" s="1" t="s">
        <v>42</v>
      </c>
      <c r="G108" s="1" t="s">
        <v>20</v>
      </c>
      <c r="H108" s="1" t="s">
        <v>54</v>
      </c>
      <c r="I108" s="1" t="s">
        <v>22</v>
      </c>
      <c r="J108" s="1" t="s">
        <v>398</v>
      </c>
      <c r="K108" s="1" t="s">
        <v>82</v>
      </c>
      <c r="L108" s="1" t="s">
        <v>136</v>
      </c>
      <c r="M108" s="1" t="s">
        <v>206</v>
      </c>
      <c r="N108" s="1" t="s">
        <v>24</v>
      </c>
      <c r="P108" s="3">
        <f t="shared" si="1"/>
        <v>0.975</v>
      </c>
      <c r="Q108" s="3">
        <f t="shared" si="2"/>
        <v>0.725</v>
      </c>
      <c r="R108" s="3">
        <f t="shared" si="3"/>
        <v>0.8375</v>
      </c>
      <c r="T108" s="3">
        <f t="shared" si="4"/>
        <v>0.78</v>
      </c>
      <c r="U108" s="3">
        <f t="shared" si="5"/>
        <v>1.16</v>
      </c>
      <c r="V108" s="3">
        <f t="shared" si="6"/>
        <v>0.268</v>
      </c>
    </row>
    <row r="109">
      <c r="A109" s="1" t="s">
        <v>510</v>
      </c>
      <c r="B109" s="1" t="s">
        <v>46</v>
      </c>
      <c r="C109" s="1" t="s">
        <v>42</v>
      </c>
      <c r="D109" s="1" t="s">
        <v>24</v>
      </c>
      <c r="E109" s="1" t="s">
        <v>24</v>
      </c>
      <c r="F109" s="1" t="s">
        <v>20</v>
      </c>
      <c r="G109" s="1" t="s">
        <v>24</v>
      </c>
      <c r="H109" s="1" t="s">
        <v>145</v>
      </c>
      <c r="I109" s="1" t="s">
        <v>22</v>
      </c>
      <c r="J109" s="1" t="s">
        <v>349</v>
      </c>
      <c r="K109" s="1" t="s">
        <v>300</v>
      </c>
      <c r="L109" s="1" t="s">
        <v>94</v>
      </c>
      <c r="M109" s="1" t="s">
        <v>206</v>
      </c>
      <c r="N109" s="1" t="s">
        <v>206</v>
      </c>
      <c r="P109" s="3">
        <f t="shared" si="1"/>
        <v>0.825</v>
      </c>
      <c r="Q109" s="3">
        <f t="shared" si="2"/>
        <v>0.775</v>
      </c>
      <c r="R109" s="3">
        <f t="shared" si="3"/>
        <v>0.5375</v>
      </c>
      <c r="T109" s="3">
        <f t="shared" si="4"/>
        <v>0.66</v>
      </c>
      <c r="U109" s="3">
        <f t="shared" si="5"/>
        <v>1.24</v>
      </c>
      <c r="V109" s="3">
        <f t="shared" si="6"/>
        <v>0.172</v>
      </c>
    </row>
    <row r="110">
      <c r="A110" s="1" t="s">
        <v>511</v>
      </c>
      <c r="B110" s="1" t="s">
        <v>46</v>
      </c>
      <c r="C110" s="1" t="s">
        <v>20</v>
      </c>
      <c r="D110" s="1" t="s">
        <v>21</v>
      </c>
      <c r="E110" s="1" t="s">
        <v>24</v>
      </c>
      <c r="F110" s="1" t="s">
        <v>42</v>
      </c>
      <c r="G110" s="1" t="s">
        <v>20</v>
      </c>
      <c r="H110" s="1" t="s">
        <v>352</v>
      </c>
      <c r="I110" s="1" t="s">
        <v>42</v>
      </c>
      <c r="J110" s="1" t="s">
        <v>369</v>
      </c>
      <c r="K110" s="1" t="s">
        <v>43</v>
      </c>
      <c r="L110" s="1" t="s">
        <v>136</v>
      </c>
      <c r="M110" s="1" t="s">
        <v>24</v>
      </c>
      <c r="N110" s="1" t="s">
        <v>24</v>
      </c>
      <c r="P110" s="3">
        <f t="shared" si="1"/>
        <v>0.9375</v>
      </c>
      <c r="Q110" s="3">
        <f t="shared" si="2"/>
        <v>0.7125</v>
      </c>
      <c r="R110" s="3">
        <f t="shared" si="3"/>
        <v>0.875</v>
      </c>
      <c r="T110" s="3">
        <f t="shared" si="4"/>
        <v>0.75</v>
      </c>
      <c r="U110" s="3">
        <f t="shared" si="5"/>
        <v>1.14</v>
      </c>
      <c r="V110" s="3">
        <f t="shared" si="6"/>
        <v>0.28</v>
      </c>
    </row>
    <row r="111">
      <c r="A111" s="1" t="s">
        <v>512</v>
      </c>
      <c r="B111" s="1" t="s">
        <v>46</v>
      </c>
      <c r="C111" s="1" t="s">
        <v>20</v>
      </c>
      <c r="D111" s="1" t="s">
        <v>24</v>
      </c>
      <c r="E111" s="1" t="s">
        <v>20</v>
      </c>
      <c r="F111" s="1" t="s">
        <v>42</v>
      </c>
      <c r="G111" s="1" t="s">
        <v>21</v>
      </c>
      <c r="H111" s="1" t="s">
        <v>75</v>
      </c>
      <c r="I111" s="1" t="s">
        <v>22</v>
      </c>
      <c r="J111" s="1" t="s">
        <v>375</v>
      </c>
      <c r="K111" s="1" t="s">
        <v>300</v>
      </c>
      <c r="L111" s="1" t="s">
        <v>290</v>
      </c>
      <c r="M111" s="1" t="s">
        <v>206</v>
      </c>
      <c r="N111" s="1" t="s">
        <v>206</v>
      </c>
      <c r="P111" s="3">
        <f t="shared" si="1"/>
        <v>0.8375</v>
      </c>
      <c r="Q111" s="3">
        <f t="shared" si="2"/>
        <v>0.8875</v>
      </c>
      <c r="R111" s="3">
        <f t="shared" si="3"/>
        <v>0.825</v>
      </c>
      <c r="T111" s="3">
        <f t="shared" si="4"/>
        <v>0.67</v>
      </c>
      <c r="U111" s="3">
        <f t="shared" si="5"/>
        <v>1.42</v>
      </c>
      <c r="V111" s="3">
        <f t="shared" si="6"/>
        <v>0.264</v>
      </c>
    </row>
    <row r="112">
      <c r="A112" s="1" t="s">
        <v>513</v>
      </c>
      <c r="B112" s="1" t="s">
        <v>46</v>
      </c>
      <c r="C112" s="1" t="s">
        <v>21</v>
      </c>
      <c r="D112" s="1" t="s">
        <v>42</v>
      </c>
      <c r="E112" s="1" t="s">
        <v>21</v>
      </c>
      <c r="F112" s="1" t="s">
        <v>22</v>
      </c>
      <c r="G112" s="1" t="s">
        <v>20</v>
      </c>
      <c r="H112" s="1" t="s">
        <v>474</v>
      </c>
      <c r="I112" s="1" t="s">
        <v>22</v>
      </c>
      <c r="J112" s="1" t="s">
        <v>360</v>
      </c>
      <c r="K112" s="1" t="s">
        <v>82</v>
      </c>
      <c r="L112" s="1" t="s">
        <v>246</v>
      </c>
      <c r="M112" s="1" t="s">
        <v>206</v>
      </c>
      <c r="N112" s="1" t="s">
        <v>206</v>
      </c>
      <c r="P112" s="3">
        <f t="shared" si="1"/>
        <v>0.7375</v>
      </c>
      <c r="Q112" s="3">
        <f t="shared" si="2"/>
        <v>0.6125</v>
      </c>
      <c r="R112" s="3">
        <f t="shared" si="3"/>
        <v>0.875</v>
      </c>
      <c r="T112" s="3">
        <f t="shared" si="4"/>
        <v>0.59</v>
      </c>
      <c r="U112" s="3">
        <f t="shared" si="5"/>
        <v>0.98</v>
      </c>
      <c r="V112" s="3">
        <f t="shared" si="6"/>
        <v>0.28</v>
      </c>
    </row>
    <row r="113">
      <c r="A113" s="1" t="s">
        <v>514</v>
      </c>
      <c r="B113" s="1" t="s">
        <v>46</v>
      </c>
      <c r="C113" s="1" t="s">
        <v>20</v>
      </c>
      <c r="D113" s="1" t="s">
        <v>21</v>
      </c>
      <c r="E113" s="1" t="s">
        <v>21</v>
      </c>
      <c r="F113" s="1" t="s">
        <v>22</v>
      </c>
      <c r="G113" s="1" t="s">
        <v>42</v>
      </c>
      <c r="H113" s="1" t="s">
        <v>450</v>
      </c>
      <c r="I113" s="1" t="s">
        <v>22</v>
      </c>
      <c r="J113" s="1" t="s">
        <v>360</v>
      </c>
      <c r="K113" s="1" t="s">
        <v>300</v>
      </c>
      <c r="L113" s="1" t="s">
        <v>302</v>
      </c>
      <c r="M113" s="1" t="s">
        <v>206</v>
      </c>
      <c r="N113" s="1" t="s">
        <v>206</v>
      </c>
      <c r="P113" s="3">
        <f t="shared" si="1"/>
        <v>0.9125</v>
      </c>
      <c r="Q113" s="3">
        <f t="shared" si="2"/>
        <v>0.7375</v>
      </c>
      <c r="R113" s="3">
        <f t="shared" si="3"/>
        <v>0.95</v>
      </c>
      <c r="T113" s="3">
        <f t="shared" si="4"/>
        <v>0.73</v>
      </c>
      <c r="U113" s="3">
        <f t="shared" si="5"/>
        <v>1.18</v>
      </c>
      <c r="V113" s="3">
        <f t="shared" si="6"/>
        <v>0.304</v>
      </c>
    </row>
    <row r="114">
      <c r="A114" s="1" t="s">
        <v>515</v>
      </c>
      <c r="B114" s="1" t="s">
        <v>516</v>
      </c>
      <c r="C114" s="1" t="s">
        <v>22</v>
      </c>
      <c r="D114" s="1" t="s">
        <v>21</v>
      </c>
      <c r="E114" s="1" t="s">
        <v>20</v>
      </c>
      <c r="F114" s="1" t="s">
        <v>42</v>
      </c>
      <c r="G114" s="1" t="s">
        <v>24</v>
      </c>
      <c r="H114" s="1" t="s">
        <v>517</v>
      </c>
      <c r="I114" s="1" t="s">
        <v>20</v>
      </c>
      <c r="J114" s="1" t="s">
        <v>355</v>
      </c>
      <c r="K114" s="1" t="s">
        <v>300</v>
      </c>
      <c r="L114" s="1" t="s">
        <v>177</v>
      </c>
      <c r="M114" s="1" t="s">
        <v>206</v>
      </c>
      <c r="N114" s="1" t="s">
        <v>206</v>
      </c>
      <c r="P114" s="3">
        <f t="shared" si="1"/>
        <v>0.825</v>
      </c>
      <c r="Q114" s="3">
        <f t="shared" si="2"/>
        <v>0.875</v>
      </c>
      <c r="R114" s="3">
        <f t="shared" si="3"/>
        <v>0.7375</v>
      </c>
      <c r="T114" s="3">
        <f t="shared" si="4"/>
        <v>0.66</v>
      </c>
      <c r="U114" s="3">
        <f t="shared" si="5"/>
        <v>1.4</v>
      </c>
      <c r="V114" s="3">
        <f t="shared" si="6"/>
        <v>0.236</v>
      </c>
    </row>
    <row r="115">
      <c r="A115" s="1" t="s">
        <v>518</v>
      </c>
      <c r="B115" s="1" t="s">
        <v>516</v>
      </c>
      <c r="C115" s="1" t="s">
        <v>21</v>
      </c>
      <c r="D115" s="1" t="s">
        <v>22</v>
      </c>
      <c r="E115" s="1" t="s">
        <v>21</v>
      </c>
      <c r="F115" s="1" t="s">
        <v>20</v>
      </c>
      <c r="G115" s="1" t="s">
        <v>22</v>
      </c>
      <c r="H115" s="1" t="s">
        <v>357</v>
      </c>
      <c r="I115" s="1" t="s">
        <v>42</v>
      </c>
      <c r="J115" s="1" t="s">
        <v>519</v>
      </c>
      <c r="K115" s="1" t="s">
        <v>300</v>
      </c>
      <c r="L115" s="1" t="s">
        <v>246</v>
      </c>
      <c r="M115" s="1" t="s">
        <v>24</v>
      </c>
      <c r="N115" s="1" t="s">
        <v>24</v>
      </c>
      <c r="P115" s="3">
        <f t="shared" si="1"/>
        <v>0.775</v>
      </c>
      <c r="Q115" s="3">
        <f t="shared" si="2"/>
        <v>0.675</v>
      </c>
      <c r="R115" s="3">
        <f t="shared" si="3"/>
        <v>0.9125</v>
      </c>
      <c r="T115" s="3">
        <f t="shared" si="4"/>
        <v>0.62</v>
      </c>
      <c r="U115" s="3">
        <f t="shared" si="5"/>
        <v>1.08</v>
      </c>
      <c r="V115" s="3">
        <f t="shared" si="6"/>
        <v>0.292</v>
      </c>
    </row>
    <row r="116">
      <c r="A116" s="1" t="s">
        <v>520</v>
      </c>
      <c r="B116" s="1" t="s">
        <v>516</v>
      </c>
      <c r="C116" s="1" t="s">
        <v>22</v>
      </c>
      <c r="D116" s="1" t="s">
        <v>21</v>
      </c>
      <c r="E116" s="1" t="s">
        <v>21</v>
      </c>
      <c r="F116" s="1" t="s">
        <v>20</v>
      </c>
      <c r="G116" s="1" t="s">
        <v>24</v>
      </c>
      <c r="H116" s="1" t="s">
        <v>485</v>
      </c>
      <c r="I116" s="1" t="s">
        <v>21</v>
      </c>
      <c r="J116" s="1" t="s">
        <v>415</v>
      </c>
      <c r="K116" s="1" t="s">
        <v>74</v>
      </c>
      <c r="L116" s="1" t="s">
        <v>64</v>
      </c>
      <c r="M116" s="1" t="s">
        <v>206</v>
      </c>
      <c r="N116" s="1" t="s">
        <v>206</v>
      </c>
      <c r="P116" s="3">
        <f t="shared" si="1"/>
        <v>0.8125</v>
      </c>
      <c r="Q116" s="3">
        <f t="shared" si="2"/>
        <v>0.8625</v>
      </c>
      <c r="R116" s="3">
        <f t="shared" si="3"/>
        <v>0.675</v>
      </c>
      <c r="T116" s="3">
        <f t="shared" si="4"/>
        <v>0.65</v>
      </c>
      <c r="U116" s="3">
        <f t="shared" si="5"/>
        <v>1.38</v>
      </c>
      <c r="V116" s="3">
        <f t="shared" si="6"/>
        <v>0.216</v>
      </c>
    </row>
    <row r="117">
      <c r="A117" s="1" t="s">
        <v>521</v>
      </c>
      <c r="B117" s="1" t="s">
        <v>516</v>
      </c>
      <c r="C117" s="1" t="s">
        <v>24</v>
      </c>
      <c r="D117" s="1" t="s">
        <v>20</v>
      </c>
      <c r="E117" s="1" t="s">
        <v>20</v>
      </c>
      <c r="F117" s="1" t="s">
        <v>20</v>
      </c>
      <c r="G117" s="1" t="s">
        <v>22</v>
      </c>
      <c r="H117" s="1" t="s">
        <v>250</v>
      </c>
      <c r="I117" s="1" t="s">
        <v>42</v>
      </c>
      <c r="J117" s="1" t="s">
        <v>369</v>
      </c>
      <c r="K117" s="1" t="s">
        <v>43</v>
      </c>
      <c r="L117" s="1" t="s">
        <v>350</v>
      </c>
      <c r="M117" s="1" t="s">
        <v>206</v>
      </c>
      <c r="N117" s="1" t="s">
        <v>24</v>
      </c>
      <c r="P117" s="3">
        <f t="shared" si="1"/>
        <v>0.6875</v>
      </c>
      <c r="Q117" s="3">
        <f t="shared" si="2"/>
        <v>0.7375</v>
      </c>
      <c r="R117" s="3">
        <f t="shared" si="3"/>
        <v>0.925</v>
      </c>
      <c r="T117" s="3">
        <f t="shared" si="4"/>
        <v>0.55</v>
      </c>
      <c r="U117" s="3">
        <f t="shared" si="5"/>
        <v>1.18</v>
      </c>
      <c r="V117" s="3">
        <f t="shared" si="6"/>
        <v>0.296</v>
      </c>
    </row>
    <row r="118">
      <c r="A118" s="1" t="s">
        <v>522</v>
      </c>
      <c r="B118" s="1" t="s">
        <v>516</v>
      </c>
      <c r="C118" s="1" t="s">
        <v>24</v>
      </c>
      <c r="D118" s="1" t="s">
        <v>21</v>
      </c>
      <c r="E118" s="1" t="s">
        <v>21</v>
      </c>
      <c r="F118" s="1" t="s">
        <v>42</v>
      </c>
      <c r="G118" s="1" t="s">
        <v>42</v>
      </c>
      <c r="H118" s="1" t="s">
        <v>293</v>
      </c>
      <c r="I118" s="1" t="s">
        <v>42</v>
      </c>
      <c r="J118" s="1" t="s">
        <v>369</v>
      </c>
      <c r="K118" s="1" t="s">
        <v>43</v>
      </c>
      <c r="L118" s="1" t="s">
        <v>116</v>
      </c>
      <c r="M118" s="1" t="s">
        <v>24</v>
      </c>
      <c r="N118" s="1" t="s">
        <v>206</v>
      </c>
      <c r="P118" s="3">
        <f t="shared" si="1"/>
        <v>0.775</v>
      </c>
      <c r="Q118" s="3">
        <f t="shared" si="2"/>
        <v>0.6</v>
      </c>
      <c r="R118" s="3">
        <f t="shared" si="3"/>
        <v>0.9625</v>
      </c>
      <c r="T118" s="3">
        <f t="shared" si="4"/>
        <v>0.62</v>
      </c>
      <c r="U118" s="3">
        <f t="shared" si="5"/>
        <v>0.96</v>
      </c>
      <c r="V118" s="3">
        <f t="shared" si="6"/>
        <v>0.308</v>
      </c>
    </row>
    <row r="119">
      <c r="A119" s="1" t="s">
        <v>523</v>
      </c>
      <c r="B119" s="1" t="s">
        <v>516</v>
      </c>
      <c r="C119" s="1" t="s">
        <v>22</v>
      </c>
      <c r="D119" s="1" t="s">
        <v>20</v>
      </c>
      <c r="E119" s="1" t="s">
        <v>22</v>
      </c>
      <c r="F119" s="1" t="s">
        <v>20</v>
      </c>
      <c r="G119" s="1" t="s">
        <v>22</v>
      </c>
      <c r="H119" s="1" t="s">
        <v>196</v>
      </c>
      <c r="I119" s="1" t="s">
        <v>22</v>
      </c>
      <c r="J119" s="1" t="s">
        <v>360</v>
      </c>
      <c r="K119" s="1" t="s">
        <v>82</v>
      </c>
      <c r="L119" s="1" t="s">
        <v>279</v>
      </c>
      <c r="M119" s="1" t="s">
        <v>24</v>
      </c>
      <c r="N119" s="1" t="s">
        <v>24</v>
      </c>
      <c r="P119" s="3">
        <f t="shared" si="1"/>
        <v>0.8125</v>
      </c>
      <c r="Q119" s="3">
        <f t="shared" si="2"/>
        <v>0.8875</v>
      </c>
      <c r="R119" s="3">
        <f t="shared" si="3"/>
        <v>0.875</v>
      </c>
      <c r="T119" s="3">
        <f t="shared" si="4"/>
        <v>0.65</v>
      </c>
      <c r="U119" s="3">
        <f t="shared" si="5"/>
        <v>1.42</v>
      </c>
      <c r="V119" s="3">
        <f t="shared" si="6"/>
        <v>0.28</v>
      </c>
    </row>
    <row r="120">
      <c r="A120" s="1" t="s">
        <v>524</v>
      </c>
      <c r="B120" s="1" t="s">
        <v>516</v>
      </c>
      <c r="C120" s="1" t="s">
        <v>42</v>
      </c>
      <c r="D120" s="1" t="s">
        <v>21</v>
      </c>
      <c r="E120" s="1" t="s">
        <v>21</v>
      </c>
      <c r="F120" s="1" t="s">
        <v>22</v>
      </c>
      <c r="G120" s="1" t="s">
        <v>20</v>
      </c>
      <c r="H120" s="1" t="s">
        <v>352</v>
      </c>
      <c r="I120" s="1" t="s">
        <v>20</v>
      </c>
      <c r="J120" s="1" t="s">
        <v>360</v>
      </c>
      <c r="K120" s="1" t="s">
        <v>300</v>
      </c>
      <c r="L120" s="1" t="s">
        <v>142</v>
      </c>
      <c r="M120" s="1" t="s">
        <v>206</v>
      </c>
      <c r="N120" s="1" t="s">
        <v>206</v>
      </c>
      <c r="P120" s="3">
        <f t="shared" si="1"/>
        <v>0.9625</v>
      </c>
      <c r="Q120" s="3">
        <f t="shared" si="2"/>
        <v>0.8375</v>
      </c>
      <c r="R120" s="3">
        <f t="shared" si="3"/>
        <v>0.8</v>
      </c>
      <c r="T120" s="3">
        <f t="shared" si="4"/>
        <v>0.77</v>
      </c>
      <c r="U120" s="3">
        <f t="shared" si="5"/>
        <v>1.34</v>
      </c>
      <c r="V120" s="3">
        <f t="shared" si="6"/>
        <v>0.256</v>
      </c>
    </row>
    <row r="121">
      <c r="A121" s="1" t="s">
        <v>525</v>
      </c>
      <c r="B121" s="1" t="s">
        <v>516</v>
      </c>
      <c r="C121" s="1" t="s">
        <v>22</v>
      </c>
      <c r="D121" s="1" t="s">
        <v>21</v>
      </c>
      <c r="E121" s="1" t="s">
        <v>42</v>
      </c>
      <c r="F121" s="1" t="s">
        <v>21</v>
      </c>
      <c r="G121" s="1" t="s">
        <v>21</v>
      </c>
      <c r="H121" s="1" t="s">
        <v>97</v>
      </c>
      <c r="I121" s="1" t="s">
        <v>42</v>
      </c>
      <c r="J121" s="1" t="s">
        <v>413</v>
      </c>
      <c r="K121" s="1" t="s">
        <v>300</v>
      </c>
      <c r="L121" s="1" t="s">
        <v>87</v>
      </c>
      <c r="M121" s="1" t="s">
        <v>24</v>
      </c>
      <c r="N121" s="1" t="s">
        <v>24</v>
      </c>
      <c r="P121" s="3">
        <f t="shared" si="1"/>
        <v>0.625</v>
      </c>
      <c r="Q121" s="3">
        <f t="shared" si="2"/>
        <v>0.975</v>
      </c>
      <c r="R121" s="3">
        <f t="shared" si="3"/>
        <v>0.6625</v>
      </c>
      <c r="T121" s="3">
        <f t="shared" si="4"/>
        <v>0.5</v>
      </c>
      <c r="U121" s="3">
        <f t="shared" si="5"/>
        <v>1.56</v>
      </c>
      <c r="V121" s="3">
        <f t="shared" si="6"/>
        <v>0.212</v>
      </c>
    </row>
    <row r="122">
      <c r="A122" s="1" t="s">
        <v>526</v>
      </c>
      <c r="B122" s="1" t="s">
        <v>516</v>
      </c>
      <c r="C122" s="1" t="s">
        <v>20</v>
      </c>
      <c r="D122" s="1" t="s">
        <v>20</v>
      </c>
      <c r="E122" s="1" t="s">
        <v>21</v>
      </c>
      <c r="F122" s="1" t="s">
        <v>42</v>
      </c>
      <c r="G122" s="1" t="s">
        <v>21</v>
      </c>
      <c r="H122" s="1" t="s">
        <v>33</v>
      </c>
      <c r="I122" s="1" t="s">
        <v>42</v>
      </c>
      <c r="J122" s="1" t="s">
        <v>389</v>
      </c>
      <c r="K122" s="1" t="s">
        <v>82</v>
      </c>
      <c r="L122" s="1" t="s">
        <v>258</v>
      </c>
      <c r="M122" s="1" t="s">
        <v>24</v>
      </c>
      <c r="N122" s="1" t="s">
        <v>24</v>
      </c>
      <c r="P122" s="3">
        <f t="shared" si="1"/>
        <v>0.875</v>
      </c>
      <c r="Q122" s="3">
        <f t="shared" si="2"/>
        <v>0.775</v>
      </c>
      <c r="R122" s="3">
        <f t="shared" si="3"/>
        <v>0.8625</v>
      </c>
      <c r="T122" s="3">
        <f t="shared" si="4"/>
        <v>0.7</v>
      </c>
      <c r="U122" s="3">
        <f t="shared" si="5"/>
        <v>1.24</v>
      </c>
      <c r="V122" s="3">
        <f t="shared" si="6"/>
        <v>0.276</v>
      </c>
    </row>
    <row r="123">
      <c r="A123" s="1" t="s">
        <v>527</v>
      </c>
      <c r="B123" s="1" t="s">
        <v>516</v>
      </c>
      <c r="C123" s="1" t="s">
        <v>22</v>
      </c>
      <c r="D123" s="1" t="s">
        <v>20</v>
      </c>
      <c r="E123" s="1" t="s">
        <v>22</v>
      </c>
      <c r="F123" s="1" t="s">
        <v>20</v>
      </c>
      <c r="G123" s="1" t="s">
        <v>22</v>
      </c>
      <c r="H123" s="1" t="s">
        <v>250</v>
      </c>
      <c r="I123" s="1" t="s">
        <v>22</v>
      </c>
      <c r="J123" s="1" t="s">
        <v>457</v>
      </c>
      <c r="K123" s="1" t="s">
        <v>300</v>
      </c>
      <c r="L123" s="1" t="s">
        <v>279</v>
      </c>
      <c r="M123" s="1" t="s">
        <v>24</v>
      </c>
      <c r="N123" s="1" t="s">
        <v>206</v>
      </c>
      <c r="P123" s="3">
        <f t="shared" si="1"/>
        <v>0.8125</v>
      </c>
      <c r="Q123" s="3">
        <f t="shared" si="2"/>
        <v>0.8875</v>
      </c>
      <c r="R123" s="3">
        <f t="shared" si="3"/>
        <v>0.875</v>
      </c>
      <c r="T123" s="3">
        <f t="shared" si="4"/>
        <v>0.65</v>
      </c>
      <c r="U123" s="3">
        <f t="shared" si="5"/>
        <v>1.42</v>
      </c>
      <c r="V123" s="3">
        <f t="shared" si="6"/>
        <v>0.28</v>
      </c>
    </row>
    <row r="124">
      <c r="A124" s="1" t="s">
        <v>528</v>
      </c>
      <c r="B124" s="1" t="s">
        <v>529</v>
      </c>
      <c r="C124" s="1" t="s">
        <v>20</v>
      </c>
      <c r="D124" s="1" t="s">
        <v>20</v>
      </c>
      <c r="E124" s="1" t="s">
        <v>20</v>
      </c>
      <c r="F124" s="1" t="s">
        <v>22</v>
      </c>
      <c r="G124" s="1" t="s">
        <v>22</v>
      </c>
      <c r="H124" s="1" t="s">
        <v>439</v>
      </c>
      <c r="I124" s="1" t="s">
        <v>22</v>
      </c>
      <c r="J124" s="1" t="s">
        <v>417</v>
      </c>
      <c r="K124" s="1" t="s">
        <v>82</v>
      </c>
      <c r="L124" s="1" t="s">
        <v>71</v>
      </c>
      <c r="M124" s="1" t="s">
        <v>24</v>
      </c>
      <c r="N124" s="1" t="s">
        <v>206</v>
      </c>
      <c r="P124" s="3">
        <f t="shared" si="1"/>
        <v>0.875</v>
      </c>
      <c r="Q124" s="3">
        <f t="shared" si="2"/>
        <v>0.825</v>
      </c>
      <c r="R124" s="3">
        <f t="shared" si="3"/>
        <v>0.9625</v>
      </c>
      <c r="T124" s="3">
        <f t="shared" si="4"/>
        <v>0.7</v>
      </c>
      <c r="U124" s="3">
        <f t="shared" si="5"/>
        <v>1.32</v>
      </c>
      <c r="V124" s="3">
        <f t="shared" si="6"/>
        <v>0.308</v>
      </c>
    </row>
    <row r="125">
      <c r="A125" s="1" t="s">
        <v>530</v>
      </c>
      <c r="B125" s="1" t="s">
        <v>529</v>
      </c>
      <c r="C125" s="1" t="s">
        <v>21</v>
      </c>
      <c r="D125" s="1" t="s">
        <v>20</v>
      </c>
      <c r="E125" s="1" t="s">
        <v>24</v>
      </c>
      <c r="F125" s="1" t="s">
        <v>20</v>
      </c>
      <c r="G125" s="1" t="s">
        <v>20</v>
      </c>
      <c r="H125" s="1" t="s">
        <v>266</v>
      </c>
      <c r="I125" s="1" t="s">
        <v>22</v>
      </c>
      <c r="J125" s="1" t="s">
        <v>362</v>
      </c>
      <c r="K125" s="1" t="s">
        <v>74</v>
      </c>
      <c r="L125" s="1" t="s">
        <v>379</v>
      </c>
      <c r="M125" s="1" t="s">
        <v>206</v>
      </c>
      <c r="N125" s="1" t="s">
        <v>24</v>
      </c>
      <c r="P125" s="3">
        <f t="shared" si="1"/>
        <v>0.8125</v>
      </c>
      <c r="Q125" s="3">
        <f t="shared" si="2"/>
        <v>0.6875</v>
      </c>
      <c r="R125" s="3">
        <f t="shared" si="3"/>
        <v>0.85</v>
      </c>
      <c r="T125" s="3">
        <f t="shared" si="4"/>
        <v>0.65</v>
      </c>
      <c r="U125" s="3">
        <f t="shared" si="5"/>
        <v>1.1</v>
      </c>
      <c r="V125" s="3">
        <f t="shared" si="6"/>
        <v>0.272</v>
      </c>
    </row>
    <row r="126">
      <c r="A126" s="1" t="s">
        <v>531</v>
      </c>
      <c r="B126" s="1" t="s">
        <v>529</v>
      </c>
      <c r="C126" s="1" t="s">
        <v>20</v>
      </c>
      <c r="D126" s="1" t="s">
        <v>21</v>
      </c>
      <c r="E126" s="1" t="s">
        <v>22</v>
      </c>
      <c r="F126" s="1" t="s">
        <v>22</v>
      </c>
      <c r="G126" s="1" t="s">
        <v>42</v>
      </c>
      <c r="H126" s="1" t="s">
        <v>75</v>
      </c>
      <c r="I126" s="1" t="s">
        <v>20</v>
      </c>
      <c r="J126" s="1" t="s">
        <v>375</v>
      </c>
      <c r="K126" s="1" t="s">
        <v>300</v>
      </c>
      <c r="L126" s="1" t="s">
        <v>263</v>
      </c>
      <c r="M126" s="1" t="s">
        <v>206</v>
      </c>
      <c r="N126" s="1" t="s">
        <v>24</v>
      </c>
      <c r="P126" s="3">
        <f t="shared" si="1"/>
        <v>0.8125</v>
      </c>
      <c r="Q126" s="3">
        <f t="shared" si="2"/>
        <v>0.8375</v>
      </c>
      <c r="R126" s="3">
        <f t="shared" si="3"/>
        <v>0.95</v>
      </c>
      <c r="T126" s="3">
        <f t="shared" si="4"/>
        <v>0.65</v>
      </c>
      <c r="U126" s="3">
        <f t="shared" si="5"/>
        <v>1.34</v>
      </c>
      <c r="V126" s="3">
        <f t="shared" si="6"/>
        <v>0.304</v>
      </c>
    </row>
    <row r="127">
      <c r="A127" s="1" t="s">
        <v>532</v>
      </c>
      <c r="B127" s="1" t="s">
        <v>529</v>
      </c>
      <c r="C127" s="1" t="s">
        <v>20</v>
      </c>
      <c r="D127" s="1" t="s">
        <v>20</v>
      </c>
      <c r="E127" s="1" t="s">
        <v>20</v>
      </c>
      <c r="F127" s="1" t="s">
        <v>21</v>
      </c>
      <c r="G127" s="1" t="s">
        <v>21</v>
      </c>
      <c r="H127" s="1" t="s">
        <v>52</v>
      </c>
      <c r="I127" s="1" t="s">
        <v>42</v>
      </c>
      <c r="J127" s="1" t="s">
        <v>433</v>
      </c>
      <c r="K127" s="1" t="s">
        <v>82</v>
      </c>
      <c r="L127" s="1" t="s">
        <v>17</v>
      </c>
      <c r="M127" s="1" t="s">
        <v>206</v>
      </c>
      <c r="N127" s="1" t="s">
        <v>24</v>
      </c>
      <c r="P127" s="3">
        <f t="shared" si="1"/>
        <v>0.725</v>
      </c>
      <c r="Q127" s="3">
        <f t="shared" si="2"/>
        <v>0.875</v>
      </c>
      <c r="R127" s="3">
        <f t="shared" si="3"/>
        <v>0.7625</v>
      </c>
      <c r="T127" s="3">
        <f t="shared" si="4"/>
        <v>0.58</v>
      </c>
      <c r="U127" s="3">
        <f t="shared" si="5"/>
        <v>1.4</v>
      </c>
      <c r="V127" s="3">
        <f t="shared" si="6"/>
        <v>0.244</v>
      </c>
    </row>
    <row r="128">
      <c r="A128" s="1" t="s">
        <v>533</v>
      </c>
      <c r="B128" s="1" t="s">
        <v>529</v>
      </c>
      <c r="C128" s="1" t="s">
        <v>22</v>
      </c>
      <c r="D128" s="1" t="s">
        <v>21</v>
      </c>
      <c r="E128" s="1" t="s">
        <v>22</v>
      </c>
      <c r="F128" s="1" t="s">
        <v>22</v>
      </c>
      <c r="G128" s="1" t="s">
        <v>22</v>
      </c>
      <c r="H128" s="1" t="s">
        <v>106</v>
      </c>
      <c r="I128" s="1" t="s">
        <v>20</v>
      </c>
      <c r="J128" s="1" t="s">
        <v>398</v>
      </c>
      <c r="K128" s="1" t="s">
        <v>82</v>
      </c>
      <c r="L128" s="1" t="s">
        <v>102</v>
      </c>
      <c r="M128" s="1" t="s">
        <v>206</v>
      </c>
      <c r="N128" s="1" t="s">
        <v>24</v>
      </c>
      <c r="P128" s="3">
        <f t="shared" si="1"/>
        <v>0.8625</v>
      </c>
      <c r="Q128" s="3">
        <f t="shared" si="2"/>
        <v>0.9125</v>
      </c>
      <c r="R128" s="3">
        <f t="shared" si="3"/>
        <v>0.9</v>
      </c>
      <c r="T128" s="3">
        <f t="shared" si="4"/>
        <v>0.69</v>
      </c>
      <c r="U128" s="3">
        <f t="shared" si="5"/>
        <v>1.46</v>
      </c>
      <c r="V128" s="3">
        <f t="shared" si="6"/>
        <v>0.288</v>
      </c>
    </row>
    <row r="129">
      <c r="A129" s="1" t="s">
        <v>534</v>
      </c>
      <c r="B129" s="1" t="s">
        <v>535</v>
      </c>
      <c r="C129" s="1" t="s">
        <v>20</v>
      </c>
      <c r="D129" s="1" t="s">
        <v>42</v>
      </c>
      <c r="E129" s="1" t="s">
        <v>21</v>
      </c>
      <c r="F129" s="1" t="s">
        <v>22</v>
      </c>
      <c r="G129" s="1" t="s">
        <v>22</v>
      </c>
      <c r="H129" s="1" t="s">
        <v>536</v>
      </c>
      <c r="I129" s="1" t="s">
        <v>42</v>
      </c>
      <c r="J129" s="1" t="s">
        <v>375</v>
      </c>
      <c r="K129" s="1" t="s">
        <v>74</v>
      </c>
      <c r="L129" s="1" t="s">
        <v>246</v>
      </c>
      <c r="M129" s="1" t="s">
        <v>206</v>
      </c>
      <c r="N129" s="1" t="s">
        <v>206</v>
      </c>
      <c r="P129" s="3">
        <f t="shared" si="1"/>
        <v>0.8125</v>
      </c>
      <c r="Q129" s="3">
        <f t="shared" si="2"/>
        <v>0.6125</v>
      </c>
      <c r="R129" s="3">
        <f t="shared" si="3"/>
        <v>0.9</v>
      </c>
      <c r="T129" s="3">
        <f t="shared" si="4"/>
        <v>0.65</v>
      </c>
      <c r="U129" s="3">
        <f t="shared" si="5"/>
        <v>0.98</v>
      </c>
      <c r="V129" s="3">
        <f t="shared" si="6"/>
        <v>0.288</v>
      </c>
    </row>
    <row r="130">
      <c r="A130" s="1" t="s">
        <v>537</v>
      </c>
      <c r="B130" s="1" t="s">
        <v>535</v>
      </c>
      <c r="C130" s="1" t="s">
        <v>21</v>
      </c>
      <c r="D130" s="1" t="s">
        <v>42</v>
      </c>
      <c r="E130" s="1" t="s">
        <v>24</v>
      </c>
      <c r="F130" s="1" t="s">
        <v>22</v>
      </c>
      <c r="G130" s="1" t="s">
        <v>21</v>
      </c>
      <c r="H130" s="1" t="s">
        <v>352</v>
      </c>
      <c r="I130" s="1" t="s">
        <v>42</v>
      </c>
      <c r="J130" s="1" t="s">
        <v>415</v>
      </c>
      <c r="K130" s="1" t="s">
        <v>82</v>
      </c>
      <c r="L130" s="1" t="s">
        <v>220</v>
      </c>
      <c r="M130" s="1" t="s">
        <v>24</v>
      </c>
      <c r="N130" s="1" t="s">
        <v>24</v>
      </c>
      <c r="P130" s="3">
        <f t="shared" si="1"/>
        <v>0.7125</v>
      </c>
      <c r="Q130" s="3">
        <f t="shared" si="2"/>
        <v>0.5375</v>
      </c>
      <c r="R130" s="3">
        <f t="shared" si="3"/>
        <v>0.775</v>
      </c>
      <c r="T130" s="3">
        <f t="shared" si="4"/>
        <v>0.57</v>
      </c>
      <c r="U130" s="3">
        <f t="shared" si="5"/>
        <v>0.86</v>
      </c>
      <c r="V130" s="3">
        <f t="shared" si="6"/>
        <v>0.248</v>
      </c>
    </row>
    <row r="131">
      <c r="A131" s="1" t="s">
        <v>538</v>
      </c>
      <c r="B131" s="1" t="s">
        <v>535</v>
      </c>
      <c r="C131" s="1" t="s">
        <v>22</v>
      </c>
      <c r="D131" s="1" t="s">
        <v>24</v>
      </c>
      <c r="E131" s="1" t="s">
        <v>22</v>
      </c>
      <c r="F131" s="1" t="s">
        <v>21</v>
      </c>
      <c r="G131" s="1" t="s">
        <v>21</v>
      </c>
      <c r="H131" s="1" t="s">
        <v>45</v>
      </c>
      <c r="I131" s="1" t="s">
        <v>20</v>
      </c>
      <c r="J131" s="1" t="s">
        <v>539</v>
      </c>
      <c r="K131" s="1" t="s">
        <v>82</v>
      </c>
      <c r="L131" s="1" t="s">
        <v>215</v>
      </c>
      <c r="M131" s="1" t="s">
        <v>206</v>
      </c>
      <c r="N131" s="1" t="s">
        <v>24</v>
      </c>
      <c r="P131" s="3">
        <f t="shared" si="1"/>
        <v>0.7</v>
      </c>
      <c r="Q131" s="3">
        <f t="shared" si="2"/>
        <v>0.975</v>
      </c>
      <c r="R131" s="3">
        <f t="shared" si="3"/>
        <v>0.6625</v>
      </c>
      <c r="T131" s="3">
        <f t="shared" si="4"/>
        <v>0.56</v>
      </c>
      <c r="U131" s="3">
        <f t="shared" si="5"/>
        <v>1.56</v>
      </c>
      <c r="V131" s="3">
        <f t="shared" si="6"/>
        <v>0.212</v>
      </c>
    </row>
    <row r="132">
      <c r="A132" s="1" t="s">
        <v>540</v>
      </c>
      <c r="B132" s="1" t="s">
        <v>535</v>
      </c>
      <c r="C132" s="1" t="s">
        <v>20</v>
      </c>
      <c r="D132" s="1" t="s">
        <v>21</v>
      </c>
      <c r="E132" s="1" t="s">
        <v>22</v>
      </c>
      <c r="F132" s="1" t="s">
        <v>24</v>
      </c>
      <c r="G132" s="1" t="s">
        <v>21</v>
      </c>
      <c r="H132" s="1" t="s">
        <v>293</v>
      </c>
      <c r="I132" s="1" t="s">
        <v>20</v>
      </c>
      <c r="J132" s="1" t="s">
        <v>375</v>
      </c>
      <c r="K132" s="1" t="s">
        <v>43</v>
      </c>
      <c r="L132" s="1" t="s">
        <v>327</v>
      </c>
      <c r="M132" s="1" t="s">
        <v>206</v>
      </c>
      <c r="N132" s="1" t="s">
        <v>24</v>
      </c>
      <c r="P132" s="3">
        <f t="shared" si="1"/>
        <v>0.5875</v>
      </c>
      <c r="Q132" s="3">
        <f t="shared" si="2"/>
        <v>0.9125</v>
      </c>
      <c r="R132" s="3">
        <f t="shared" si="3"/>
        <v>0.65</v>
      </c>
      <c r="T132" s="3">
        <f t="shared" si="4"/>
        <v>0.47</v>
      </c>
      <c r="U132" s="3">
        <f t="shared" si="5"/>
        <v>1.46</v>
      </c>
      <c r="V132" s="3">
        <f t="shared" si="6"/>
        <v>0.208</v>
      </c>
    </row>
    <row r="133">
      <c r="A133" s="1" t="s">
        <v>541</v>
      </c>
      <c r="B133" s="1" t="s">
        <v>535</v>
      </c>
      <c r="C133" s="1" t="s">
        <v>24</v>
      </c>
      <c r="D133" s="1" t="s">
        <v>21</v>
      </c>
      <c r="E133" s="1" t="s">
        <v>21</v>
      </c>
      <c r="F133" s="1" t="s">
        <v>20</v>
      </c>
      <c r="G133" s="1" t="s">
        <v>22</v>
      </c>
      <c r="H133" s="1" t="s">
        <v>75</v>
      </c>
      <c r="I133" s="1" t="s">
        <v>42</v>
      </c>
      <c r="J133" s="1" t="s">
        <v>457</v>
      </c>
      <c r="K133" s="1" t="s">
        <v>43</v>
      </c>
      <c r="L133" s="1" t="s">
        <v>182</v>
      </c>
      <c r="M133" s="1" t="s">
        <v>206</v>
      </c>
      <c r="N133" s="1" t="s">
        <v>24</v>
      </c>
      <c r="P133" s="3">
        <f t="shared" si="1"/>
        <v>0.7375</v>
      </c>
      <c r="Q133" s="3">
        <f t="shared" si="2"/>
        <v>0.7125</v>
      </c>
      <c r="R133" s="3">
        <f t="shared" si="3"/>
        <v>0.9</v>
      </c>
      <c r="T133" s="3">
        <f t="shared" si="4"/>
        <v>0.59</v>
      </c>
      <c r="U133" s="3">
        <f t="shared" si="5"/>
        <v>1.14</v>
      </c>
      <c r="V133" s="3">
        <f t="shared" si="6"/>
        <v>0.288</v>
      </c>
    </row>
    <row r="134">
      <c r="A134" s="1" t="s">
        <v>542</v>
      </c>
      <c r="B134" s="1" t="s">
        <v>543</v>
      </c>
      <c r="C134" s="1" t="s">
        <v>20</v>
      </c>
      <c r="D134" s="1" t="s">
        <v>20</v>
      </c>
      <c r="E134" s="1" t="s">
        <v>21</v>
      </c>
      <c r="F134" s="1" t="s">
        <v>22</v>
      </c>
      <c r="G134" s="1" t="s">
        <v>20</v>
      </c>
      <c r="H134" s="1" t="s">
        <v>388</v>
      </c>
      <c r="I134" s="1" t="s">
        <v>20</v>
      </c>
      <c r="J134" s="1" t="s">
        <v>425</v>
      </c>
      <c r="K134" s="1" t="s">
        <v>82</v>
      </c>
      <c r="L134" s="1" t="s">
        <v>129</v>
      </c>
      <c r="M134" s="1" t="s">
        <v>206</v>
      </c>
      <c r="N134" s="1" t="s">
        <v>24</v>
      </c>
      <c r="P134" s="3">
        <f t="shared" si="1"/>
        <v>0.9</v>
      </c>
      <c r="Q134" s="3">
        <f t="shared" si="2"/>
        <v>0.8</v>
      </c>
      <c r="R134" s="3">
        <f t="shared" si="3"/>
        <v>0.9125</v>
      </c>
      <c r="T134" s="3">
        <f t="shared" si="4"/>
        <v>0.72</v>
      </c>
      <c r="U134" s="3">
        <f t="shared" si="5"/>
        <v>1.28</v>
      </c>
      <c r="V134" s="3">
        <f t="shared" si="6"/>
        <v>0.292</v>
      </c>
    </row>
    <row r="135">
      <c r="A135" s="1" t="s">
        <v>544</v>
      </c>
      <c r="B135" s="1" t="s">
        <v>543</v>
      </c>
      <c r="C135" s="1" t="s">
        <v>20</v>
      </c>
      <c r="D135" s="1" t="s">
        <v>42</v>
      </c>
      <c r="E135" s="1" t="s">
        <v>21</v>
      </c>
      <c r="F135" s="1" t="s">
        <v>21</v>
      </c>
      <c r="G135" s="1" t="s">
        <v>21</v>
      </c>
      <c r="H135" s="1" t="s">
        <v>447</v>
      </c>
      <c r="I135" s="1" t="s">
        <v>20</v>
      </c>
      <c r="J135" s="1" t="s">
        <v>355</v>
      </c>
      <c r="K135" s="1" t="s">
        <v>82</v>
      </c>
      <c r="L135" s="1" t="s">
        <v>276</v>
      </c>
      <c r="M135" s="1" t="s">
        <v>24</v>
      </c>
      <c r="N135" s="1" t="s">
        <v>24</v>
      </c>
      <c r="P135" s="3">
        <f t="shared" si="1"/>
        <v>0.6625</v>
      </c>
      <c r="Q135" s="3">
        <f t="shared" si="2"/>
        <v>0.6625</v>
      </c>
      <c r="R135" s="3">
        <f t="shared" si="3"/>
        <v>0.7</v>
      </c>
      <c r="T135" s="3">
        <f t="shared" si="4"/>
        <v>0.53</v>
      </c>
      <c r="U135" s="3">
        <f t="shared" si="5"/>
        <v>1.06</v>
      </c>
      <c r="V135" s="3">
        <f t="shared" si="6"/>
        <v>0.224</v>
      </c>
    </row>
    <row r="136">
      <c r="A136" s="1" t="s">
        <v>545</v>
      </c>
      <c r="B136" s="1" t="s">
        <v>543</v>
      </c>
      <c r="C136" s="1" t="s">
        <v>24</v>
      </c>
      <c r="D136" s="1" t="s">
        <v>20</v>
      </c>
      <c r="E136" s="1" t="s">
        <v>21</v>
      </c>
      <c r="F136" s="1" t="s">
        <v>21</v>
      </c>
      <c r="G136" s="1" t="s">
        <v>22</v>
      </c>
      <c r="H136" s="1" t="s">
        <v>383</v>
      </c>
      <c r="I136" s="1" t="s">
        <v>42</v>
      </c>
      <c r="J136" s="1" t="s">
        <v>389</v>
      </c>
      <c r="K136" s="1" t="s">
        <v>82</v>
      </c>
      <c r="L136" s="1" t="s">
        <v>276</v>
      </c>
      <c r="M136" s="1" t="s">
        <v>206</v>
      </c>
      <c r="N136" s="1" t="s">
        <v>206</v>
      </c>
      <c r="P136" s="3">
        <f t="shared" si="1"/>
        <v>0.6625</v>
      </c>
      <c r="Q136" s="3">
        <f t="shared" si="2"/>
        <v>0.6625</v>
      </c>
      <c r="R136" s="3">
        <f t="shared" si="3"/>
        <v>0.85</v>
      </c>
      <c r="T136" s="3">
        <f t="shared" si="4"/>
        <v>0.53</v>
      </c>
      <c r="U136" s="3">
        <f t="shared" si="5"/>
        <v>1.06</v>
      </c>
      <c r="V136" s="3">
        <f t="shared" si="6"/>
        <v>0.272</v>
      </c>
    </row>
    <row r="137">
      <c r="A137" s="1" t="s">
        <v>546</v>
      </c>
      <c r="B137" s="1" t="s">
        <v>543</v>
      </c>
      <c r="C137" s="1" t="s">
        <v>20</v>
      </c>
      <c r="D137" s="1" t="s">
        <v>21</v>
      </c>
      <c r="E137" s="1" t="s">
        <v>24</v>
      </c>
      <c r="F137" s="1" t="s">
        <v>42</v>
      </c>
      <c r="G137" s="1" t="s">
        <v>20</v>
      </c>
      <c r="H137" s="1" t="s">
        <v>485</v>
      </c>
      <c r="I137" s="1" t="s">
        <v>22</v>
      </c>
      <c r="J137" s="1" t="s">
        <v>381</v>
      </c>
      <c r="K137" s="1" t="s">
        <v>300</v>
      </c>
      <c r="L137" s="1" t="s">
        <v>379</v>
      </c>
      <c r="M137" s="1" t="s">
        <v>206</v>
      </c>
      <c r="N137" s="1" t="s">
        <v>24</v>
      </c>
      <c r="P137" s="3">
        <f t="shared" si="1"/>
        <v>0.9375</v>
      </c>
      <c r="Q137" s="3">
        <f t="shared" si="2"/>
        <v>0.7125</v>
      </c>
      <c r="R137" s="3">
        <f t="shared" si="3"/>
        <v>0.875</v>
      </c>
      <c r="T137" s="3">
        <f t="shared" si="4"/>
        <v>0.75</v>
      </c>
      <c r="U137" s="3">
        <f t="shared" si="5"/>
        <v>1.14</v>
      </c>
      <c r="V137" s="3">
        <f t="shared" si="6"/>
        <v>0.28</v>
      </c>
    </row>
    <row r="138">
      <c r="A138" s="1" t="s">
        <v>547</v>
      </c>
      <c r="B138" s="1" t="s">
        <v>543</v>
      </c>
      <c r="C138" s="1" t="s">
        <v>24</v>
      </c>
      <c r="D138" s="1" t="s">
        <v>42</v>
      </c>
      <c r="E138" s="1" t="s">
        <v>24</v>
      </c>
      <c r="F138" s="1" t="s">
        <v>21</v>
      </c>
      <c r="G138" s="1" t="s">
        <v>21</v>
      </c>
      <c r="H138" s="1" t="s">
        <v>505</v>
      </c>
      <c r="I138" s="1" t="s">
        <v>42</v>
      </c>
      <c r="J138" s="1" t="s">
        <v>358</v>
      </c>
      <c r="K138" s="1" t="s">
        <v>300</v>
      </c>
      <c r="L138" s="1" t="s">
        <v>120</v>
      </c>
      <c r="M138" s="1" t="s">
        <v>206</v>
      </c>
      <c r="N138" s="1" t="s">
        <v>206</v>
      </c>
      <c r="P138" s="3">
        <f t="shared" si="1"/>
        <v>0.525</v>
      </c>
      <c r="Q138" s="3">
        <f t="shared" si="2"/>
        <v>0.475</v>
      </c>
      <c r="R138" s="3">
        <f t="shared" si="3"/>
        <v>0.6625</v>
      </c>
      <c r="T138" s="3">
        <f t="shared" si="4"/>
        <v>0.42</v>
      </c>
      <c r="U138" s="3">
        <f t="shared" si="5"/>
        <v>0.76</v>
      </c>
      <c r="V138" s="3">
        <f t="shared" si="6"/>
        <v>0.212</v>
      </c>
    </row>
    <row r="139">
      <c r="A139" s="1" t="s">
        <v>548</v>
      </c>
      <c r="B139" s="1" t="s">
        <v>543</v>
      </c>
      <c r="C139" s="1" t="s">
        <v>21</v>
      </c>
      <c r="D139" s="1" t="s">
        <v>24</v>
      </c>
      <c r="E139" s="1" t="s">
        <v>42</v>
      </c>
      <c r="F139" s="1" t="s">
        <v>24</v>
      </c>
      <c r="G139" s="1" t="s">
        <v>20</v>
      </c>
      <c r="H139" s="1" t="s">
        <v>463</v>
      </c>
      <c r="I139" s="1" t="s">
        <v>22</v>
      </c>
      <c r="J139" s="1" t="s">
        <v>467</v>
      </c>
      <c r="K139" s="1" t="s">
        <v>82</v>
      </c>
      <c r="L139" s="1" t="s">
        <v>316</v>
      </c>
      <c r="M139" s="1" t="s">
        <v>206</v>
      </c>
      <c r="N139" s="1" t="s">
        <v>206</v>
      </c>
      <c r="P139" s="3">
        <f t="shared" si="1"/>
        <v>0.4625</v>
      </c>
      <c r="Q139" s="3">
        <f t="shared" si="2"/>
        <v>0.8875</v>
      </c>
      <c r="R139" s="3">
        <f t="shared" si="3"/>
        <v>0.65</v>
      </c>
      <c r="T139" s="3">
        <f t="shared" si="4"/>
        <v>0.37</v>
      </c>
      <c r="U139" s="3">
        <f t="shared" si="5"/>
        <v>1.42</v>
      </c>
      <c r="V139" s="3">
        <f t="shared" si="6"/>
        <v>0.208</v>
      </c>
    </row>
    <row r="140">
      <c r="A140" s="1" t="s">
        <v>549</v>
      </c>
      <c r="B140" s="1" t="s">
        <v>543</v>
      </c>
      <c r="C140" s="1" t="s">
        <v>20</v>
      </c>
      <c r="D140" s="1" t="s">
        <v>20</v>
      </c>
      <c r="E140" s="1" t="s">
        <v>22</v>
      </c>
      <c r="F140" s="1" t="s">
        <v>20</v>
      </c>
      <c r="G140" s="1" t="s">
        <v>21</v>
      </c>
      <c r="H140" s="1" t="s">
        <v>90</v>
      </c>
      <c r="I140" s="1" t="s">
        <v>22</v>
      </c>
      <c r="J140" s="1" t="s">
        <v>358</v>
      </c>
      <c r="K140" s="1" t="s">
        <v>43</v>
      </c>
      <c r="L140" s="1" t="s">
        <v>188</v>
      </c>
      <c r="M140" s="1" t="s">
        <v>206</v>
      </c>
      <c r="N140" s="1" t="s">
        <v>24</v>
      </c>
      <c r="P140" s="3">
        <f t="shared" si="1"/>
        <v>0.725</v>
      </c>
      <c r="Q140" s="3">
        <f t="shared" si="2"/>
        <v>0.925</v>
      </c>
      <c r="R140" s="3">
        <f t="shared" si="3"/>
        <v>0.8125</v>
      </c>
      <c r="T140" s="3">
        <f t="shared" si="4"/>
        <v>0.58</v>
      </c>
      <c r="U140" s="3">
        <f t="shared" si="5"/>
        <v>1.48</v>
      </c>
      <c r="V140" s="3">
        <f t="shared" si="6"/>
        <v>0.26</v>
      </c>
    </row>
    <row r="141">
      <c r="A141" s="1" t="s">
        <v>550</v>
      </c>
      <c r="B141" s="1" t="s">
        <v>207</v>
      </c>
      <c r="C141" s="1" t="s">
        <v>20</v>
      </c>
      <c r="D141" s="1" t="s">
        <v>22</v>
      </c>
      <c r="E141" s="1" t="s">
        <v>22</v>
      </c>
      <c r="F141" s="1" t="s">
        <v>42</v>
      </c>
      <c r="G141" s="1" t="s">
        <v>22</v>
      </c>
      <c r="H141" s="1" t="s">
        <v>374</v>
      </c>
      <c r="I141" s="1" t="s">
        <v>22</v>
      </c>
      <c r="J141" s="1" t="s">
        <v>358</v>
      </c>
      <c r="K141" s="1" t="s">
        <v>74</v>
      </c>
      <c r="L141" s="1" t="s">
        <v>39</v>
      </c>
      <c r="M141" s="1" t="s">
        <v>24</v>
      </c>
      <c r="N141" s="1" t="s">
        <v>24</v>
      </c>
      <c r="P141" s="3">
        <f t="shared" si="1"/>
        <v>0.7875</v>
      </c>
      <c r="Q141" s="3">
        <f t="shared" si="2"/>
        <v>0.7625</v>
      </c>
      <c r="R141" s="3">
        <f t="shared" si="3"/>
        <v>0.95</v>
      </c>
      <c r="T141" s="3">
        <f t="shared" si="4"/>
        <v>0.63</v>
      </c>
      <c r="U141" s="3">
        <f t="shared" si="5"/>
        <v>1.22</v>
      </c>
      <c r="V141" s="3">
        <f t="shared" si="6"/>
        <v>0.304</v>
      </c>
    </row>
    <row r="142">
      <c r="A142" s="1" t="s">
        <v>551</v>
      </c>
      <c r="B142" s="1" t="s">
        <v>207</v>
      </c>
      <c r="C142" s="1" t="s">
        <v>20</v>
      </c>
      <c r="D142" s="1" t="s">
        <v>20</v>
      </c>
      <c r="E142" s="1" t="s">
        <v>20</v>
      </c>
      <c r="F142" s="1" t="s">
        <v>21</v>
      </c>
      <c r="G142" s="1" t="s">
        <v>20</v>
      </c>
      <c r="H142" s="1" t="s">
        <v>552</v>
      </c>
      <c r="I142" s="1" t="s">
        <v>20</v>
      </c>
      <c r="J142" s="1" t="s">
        <v>362</v>
      </c>
      <c r="K142" s="1" t="s">
        <v>300</v>
      </c>
      <c r="L142" s="1" t="s">
        <v>64</v>
      </c>
      <c r="M142" s="1" t="s">
        <v>206</v>
      </c>
      <c r="N142" s="1" t="s">
        <v>206</v>
      </c>
      <c r="P142" s="3">
        <f t="shared" si="1"/>
        <v>0.7625</v>
      </c>
      <c r="Q142" s="3">
        <f t="shared" si="2"/>
        <v>0.8625</v>
      </c>
      <c r="R142" s="3">
        <f t="shared" si="3"/>
        <v>0.825</v>
      </c>
      <c r="T142" s="3">
        <f t="shared" si="4"/>
        <v>0.61</v>
      </c>
      <c r="U142" s="3">
        <f t="shared" si="5"/>
        <v>1.38</v>
      </c>
      <c r="V142" s="3">
        <f t="shared" si="6"/>
        <v>0.264</v>
      </c>
    </row>
    <row r="143">
      <c r="A143" s="1" t="s">
        <v>553</v>
      </c>
      <c r="B143" s="1" t="s">
        <v>207</v>
      </c>
      <c r="C143" s="1" t="s">
        <v>22</v>
      </c>
      <c r="D143" s="1" t="s">
        <v>21</v>
      </c>
      <c r="E143" s="1" t="s">
        <v>42</v>
      </c>
      <c r="F143" s="1" t="s">
        <v>21</v>
      </c>
      <c r="G143" s="1" t="s">
        <v>22</v>
      </c>
      <c r="H143" s="1" t="s">
        <v>133</v>
      </c>
      <c r="I143" s="1" t="s">
        <v>20</v>
      </c>
      <c r="J143" s="1" t="s">
        <v>467</v>
      </c>
      <c r="K143" s="1" t="s">
        <v>82</v>
      </c>
      <c r="L143" s="1" t="s">
        <v>322</v>
      </c>
      <c r="M143" s="1" t="s">
        <v>24</v>
      </c>
      <c r="N143" s="1" t="s">
        <v>24</v>
      </c>
      <c r="P143" s="3">
        <f t="shared" si="1"/>
        <v>0.675</v>
      </c>
      <c r="Q143" s="3">
        <f t="shared" si="2"/>
        <v>0.925</v>
      </c>
      <c r="R143" s="3">
        <f t="shared" si="3"/>
        <v>0.7625</v>
      </c>
      <c r="T143" s="3">
        <f t="shared" si="4"/>
        <v>0.54</v>
      </c>
      <c r="U143" s="3">
        <f t="shared" si="5"/>
        <v>1.48</v>
      </c>
      <c r="V143" s="3">
        <f t="shared" si="6"/>
        <v>0.244</v>
      </c>
    </row>
    <row r="144">
      <c r="A144" s="1" t="s">
        <v>554</v>
      </c>
      <c r="B144" s="1" t="s">
        <v>207</v>
      </c>
      <c r="C144" s="1" t="s">
        <v>21</v>
      </c>
      <c r="D144" s="1" t="s">
        <v>22</v>
      </c>
      <c r="E144" s="1" t="s">
        <v>22</v>
      </c>
      <c r="F144" s="1" t="s">
        <v>20</v>
      </c>
      <c r="G144" s="1" t="s">
        <v>20</v>
      </c>
      <c r="H144" s="1" t="s">
        <v>378</v>
      </c>
      <c r="I144" s="1" t="s">
        <v>22</v>
      </c>
      <c r="J144" s="1" t="s">
        <v>369</v>
      </c>
      <c r="K144" s="1" t="s">
        <v>43</v>
      </c>
      <c r="L144" s="1" t="s">
        <v>79</v>
      </c>
      <c r="M144" s="1" t="s">
        <v>206</v>
      </c>
      <c r="N144" s="1" t="s">
        <v>24</v>
      </c>
      <c r="P144" s="3">
        <f t="shared" si="1"/>
        <v>0.6625</v>
      </c>
      <c r="Q144" s="3">
        <f t="shared" si="2"/>
        <v>0.8125</v>
      </c>
      <c r="R144" s="3">
        <f t="shared" si="3"/>
        <v>0.875</v>
      </c>
      <c r="T144" s="3">
        <f t="shared" si="4"/>
        <v>0.53</v>
      </c>
      <c r="U144" s="3">
        <f t="shared" si="5"/>
        <v>1.3</v>
      </c>
      <c r="V144" s="3">
        <f t="shared" si="6"/>
        <v>0.28</v>
      </c>
    </row>
    <row r="145">
      <c r="A145" s="1" t="s">
        <v>555</v>
      </c>
      <c r="B145" s="1" t="s">
        <v>207</v>
      </c>
      <c r="C145" s="1" t="s">
        <v>20</v>
      </c>
      <c r="D145" s="1" t="s">
        <v>20</v>
      </c>
      <c r="E145" s="1" t="s">
        <v>20</v>
      </c>
      <c r="F145" s="1" t="s">
        <v>42</v>
      </c>
      <c r="G145" s="1" t="s">
        <v>24</v>
      </c>
      <c r="H145" s="1" t="s">
        <v>67</v>
      </c>
      <c r="I145" s="1" t="s">
        <v>22</v>
      </c>
      <c r="J145" s="1" t="s">
        <v>556</v>
      </c>
      <c r="K145" s="1" t="s">
        <v>300</v>
      </c>
      <c r="L145" s="1" t="s">
        <v>177</v>
      </c>
      <c r="M145" s="1" t="s">
        <v>206</v>
      </c>
      <c r="N145" s="1" t="s">
        <v>206</v>
      </c>
      <c r="P145" s="3">
        <f t="shared" si="1"/>
        <v>0.775</v>
      </c>
      <c r="Q145" s="3">
        <f t="shared" si="2"/>
        <v>0.825</v>
      </c>
      <c r="R145" s="3">
        <f t="shared" si="3"/>
        <v>0.7875</v>
      </c>
      <c r="T145" s="3">
        <f t="shared" si="4"/>
        <v>0.62</v>
      </c>
      <c r="U145" s="3">
        <f t="shared" si="5"/>
        <v>1.32</v>
      </c>
      <c r="V145" s="3">
        <f t="shared" si="6"/>
        <v>0.252</v>
      </c>
    </row>
    <row r="146">
      <c r="A146" s="1" t="s">
        <v>557</v>
      </c>
      <c r="B146" s="1" t="s">
        <v>207</v>
      </c>
      <c r="C146" s="1" t="s">
        <v>24</v>
      </c>
      <c r="D146" s="1" t="s">
        <v>20</v>
      </c>
      <c r="E146" s="1" t="s">
        <v>24</v>
      </c>
      <c r="F146" s="1" t="s">
        <v>20</v>
      </c>
      <c r="G146" s="1" t="s">
        <v>21</v>
      </c>
      <c r="H146" s="1" t="s">
        <v>107</v>
      </c>
      <c r="I146" s="1" t="s">
        <v>42</v>
      </c>
      <c r="J146" s="1" t="s">
        <v>425</v>
      </c>
      <c r="K146" s="1" t="s">
        <v>300</v>
      </c>
      <c r="L146" s="1" t="s">
        <v>307</v>
      </c>
      <c r="M146" s="1" t="s">
        <v>24</v>
      </c>
      <c r="N146" s="1" t="s">
        <v>206</v>
      </c>
      <c r="P146" s="3">
        <f t="shared" si="1"/>
        <v>0.6875</v>
      </c>
      <c r="Q146" s="3">
        <f t="shared" si="2"/>
        <v>0.6375</v>
      </c>
      <c r="R146" s="3">
        <f t="shared" si="3"/>
        <v>0.775</v>
      </c>
      <c r="T146" s="3">
        <f t="shared" si="4"/>
        <v>0.55</v>
      </c>
      <c r="U146" s="3">
        <f t="shared" si="5"/>
        <v>1.02</v>
      </c>
      <c r="V146" s="3">
        <f t="shared" si="6"/>
        <v>0.248</v>
      </c>
    </row>
    <row r="147">
      <c r="A147" s="1" t="s">
        <v>558</v>
      </c>
      <c r="B147" s="1" t="s">
        <v>207</v>
      </c>
      <c r="C147" s="1" t="s">
        <v>20</v>
      </c>
      <c r="D147" s="1" t="s">
        <v>20</v>
      </c>
      <c r="E147" s="1" t="s">
        <v>21</v>
      </c>
      <c r="F147" s="1" t="s">
        <v>42</v>
      </c>
      <c r="G147" s="1" t="s">
        <v>24</v>
      </c>
      <c r="H147" s="1" t="s">
        <v>485</v>
      </c>
      <c r="I147" s="1" t="s">
        <v>20</v>
      </c>
      <c r="J147" s="1" t="s">
        <v>349</v>
      </c>
      <c r="K147" s="1" t="s">
        <v>300</v>
      </c>
      <c r="L147" s="1" t="s">
        <v>307</v>
      </c>
      <c r="M147" s="1" t="s">
        <v>206</v>
      </c>
      <c r="N147" s="1" t="s">
        <v>206</v>
      </c>
      <c r="P147" s="3">
        <f t="shared" si="1"/>
        <v>0.8125</v>
      </c>
      <c r="Q147" s="3">
        <f t="shared" si="2"/>
        <v>0.7625</v>
      </c>
      <c r="R147" s="3">
        <f t="shared" si="3"/>
        <v>0.775</v>
      </c>
      <c r="T147" s="3">
        <f t="shared" si="4"/>
        <v>0.65</v>
      </c>
      <c r="U147" s="3">
        <f t="shared" si="5"/>
        <v>1.22</v>
      </c>
      <c r="V147" s="3">
        <f t="shared" si="6"/>
        <v>0.248</v>
      </c>
    </row>
    <row r="148">
      <c r="A148" s="1" t="s">
        <v>559</v>
      </c>
      <c r="B148" s="1" t="s">
        <v>560</v>
      </c>
      <c r="C148" s="1" t="s">
        <v>21</v>
      </c>
      <c r="D148" s="1" t="s">
        <v>22</v>
      </c>
      <c r="E148" s="1" t="s">
        <v>21</v>
      </c>
      <c r="F148" s="1" t="s">
        <v>20</v>
      </c>
      <c r="G148" s="1" t="s">
        <v>42</v>
      </c>
      <c r="H148" s="1" t="s">
        <v>213</v>
      </c>
      <c r="I148" s="1" t="s">
        <v>22</v>
      </c>
      <c r="J148" s="1" t="s">
        <v>364</v>
      </c>
      <c r="K148" s="1" t="s">
        <v>23</v>
      </c>
      <c r="L148" s="1" t="s">
        <v>246</v>
      </c>
      <c r="M148" s="1" t="s">
        <v>24</v>
      </c>
      <c r="N148" s="1" t="s">
        <v>24</v>
      </c>
      <c r="P148" s="3">
        <f t="shared" si="1"/>
        <v>0.7625</v>
      </c>
      <c r="Q148" s="3">
        <f t="shared" si="2"/>
        <v>0.6125</v>
      </c>
      <c r="R148" s="3">
        <f t="shared" si="3"/>
        <v>0.925</v>
      </c>
      <c r="T148" s="3">
        <f t="shared" si="4"/>
        <v>0.61</v>
      </c>
      <c r="U148" s="3">
        <f t="shared" si="5"/>
        <v>0.98</v>
      </c>
      <c r="V148" s="3">
        <f t="shared" si="6"/>
        <v>0.296</v>
      </c>
    </row>
    <row r="149">
      <c r="A149" s="1" t="s">
        <v>561</v>
      </c>
      <c r="B149" s="1" t="s">
        <v>560</v>
      </c>
      <c r="C149" s="1" t="s">
        <v>21</v>
      </c>
      <c r="D149" s="1" t="s">
        <v>20</v>
      </c>
      <c r="E149" s="1" t="s">
        <v>20</v>
      </c>
      <c r="F149" s="1" t="s">
        <v>22</v>
      </c>
      <c r="G149" s="1" t="s">
        <v>20</v>
      </c>
      <c r="H149" s="1" t="s">
        <v>391</v>
      </c>
      <c r="I149" s="1" t="s">
        <v>22</v>
      </c>
      <c r="J149" s="1" t="s">
        <v>358</v>
      </c>
      <c r="K149" s="1" t="s">
        <v>43</v>
      </c>
      <c r="L149" s="1" t="s">
        <v>302</v>
      </c>
      <c r="M149" s="1" t="s">
        <v>206</v>
      </c>
      <c r="N149" s="1" t="s">
        <v>206</v>
      </c>
      <c r="P149" s="3">
        <f t="shared" si="1"/>
        <v>0.8</v>
      </c>
      <c r="Q149" s="3">
        <f t="shared" si="2"/>
        <v>0.825</v>
      </c>
      <c r="R149" s="3">
        <f t="shared" si="3"/>
        <v>0.9375</v>
      </c>
      <c r="T149" s="3">
        <f t="shared" si="4"/>
        <v>0.64</v>
      </c>
      <c r="U149" s="3">
        <f t="shared" si="5"/>
        <v>1.32</v>
      </c>
      <c r="V149" s="3">
        <f t="shared" si="6"/>
        <v>0.3</v>
      </c>
    </row>
    <row r="150">
      <c r="A150" s="1" t="s">
        <v>562</v>
      </c>
      <c r="B150" s="1" t="s">
        <v>560</v>
      </c>
      <c r="C150" s="1" t="s">
        <v>21</v>
      </c>
      <c r="D150" s="1" t="s">
        <v>21</v>
      </c>
      <c r="E150" s="1" t="s">
        <v>20</v>
      </c>
      <c r="F150" s="1" t="s">
        <v>20</v>
      </c>
      <c r="G150" s="1" t="s">
        <v>22</v>
      </c>
      <c r="H150" s="1" t="s">
        <v>410</v>
      </c>
      <c r="I150" s="1" t="s">
        <v>22</v>
      </c>
      <c r="J150" s="1" t="s">
        <v>457</v>
      </c>
      <c r="K150" s="1" t="s">
        <v>82</v>
      </c>
      <c r="L150" s="1" t="s">
        <v>17</v>
      </c>
      <c r="M150" s="1" t="s">
        <v>206</v>
      </c>
      <c r="N150" s="1" t="s">
        <v>206</v>
      </c>
      <c r="P150" s="3">
        <f t="shared" si="1"/>
        <v>0.7875</v>
      </c>
      <c r="Q150" s="3">
        <f t="shared" si="2"/>
        <v>0.8375</v>
      </c>
      <c r="R150" s="3">
        <f t="shared" si="3"/>
        <v>0.925</v>
      </c>
      <c r="T150" s="3">
        <f t="shared" si="4"/>
        <v>0.63</v>
      </c>
      <c r="U150" s="3">
        <f t="shared" si="5"/>
        <v>1.34</v>
      </c>
      <c r="V150" s="3">
        <f t="shared" si="6"/>
        <v>0.296</v>
      </c>
    </row>
    <row r="151">
      <c r="A151" s="1" t="s">
        <v>563</v>
      </c>
      <c r="B151" s="1" t="s">
        <v>560</v>
      </c>
      <c r="C151" s="1" t="s">
        <v>20</v>
      </c>
      <c r="D151" s="1" t="s">
        <v>24</v>
      </c>
      <c r="E151" s="1" t="s">
        <v>24</v>
      </c>
      <c r="F151" s="1" t="s">
        <v>22</v>
      </c>
      <c r="G151" s="1" t="s">
        <v>21</v>
      </c>
      <c r="H151" s="1" t="s">
        <v>439</v>
      </c>
      <c r="I151" s="1" t="s">
        <v>42</v>
      </c>
      <c r="J151" s="1" t="s">
        <v>358</v>
      </c>
      <c r="K151" s="1" t="s">
        <v>82</v>
      </c>
      <c r="L151" s="1" t="s">
        <v>220</v>
      </c>
      <c r="M151" s="1" t="s">
        <v>206</v>
      </c>
      <c r="N151" s="1" t="s">
        <v>206</v>
      </c>
      <c r="P151" s="3">
        <f t="shared" si="1"/>
        <v>0.875</v>
      </c>
      <c r="Q151" s="3">
        <f t="shared" si="2"/>
        <v>0.775</v>
      </c>
      <c r="R151" s="3">
        <f t="shared" si="3"/>
        <v>0.7625</v>
      </c>
      <c r="T151" s="3">
        <f t="shared" si="4"/>
        <v>0.7</v>
      </c>
      <c r="U151" s="3">
        <f t="shared" si="5"/>
        <v>1.24</v>
      </c>
      <c r="V151" s="3">
        <f t="shared" si="6"/>
        <v>0.244</v>
      </c>
    </row>
    <row r="152">
      <c r="A152" s="1" t="s">
        <v>564</v>
      </c>
      <c r="B152" s="1" t="s">
        <v>560</v>
      </c>
      <c r="C152" s="1" t="s">
        <v>42</v>
      </c>
      <c r="D152" s="1" t="s">
        <v>20</v>
      </c>
      <c r="E152" s="1" t="s">
        <v>24</v>
      </c>
      <c r="F152" s="1" t="s">
        <v>20</v>
      </c>
      <c r="G152" s="1" t="s">
        <v>20</v>
      </c>
      <c r="H152" s="1" t="s">
        <v>33</v>
      </c>
      <c r="I152" s="1" t="s">
        <v>21</v>
      </c>
      <c r="J152" s="1" t="s">
        <v>364</v>
      </c>
      <c r="K152" s="1" t="s">
        <v>300</v>
      </c>
      <c r="L152" s="1" t="s">
        <v>220</v>
      </c>
      <c r="M152" s="1" t="s">
        <v>206</v>
      </c>
      <c r="N152" s="1" t="s">
        <v>206</v>
      </c>
      <c r="P152" s="3">
        <f t="shared" si="1"/>
        <v>0.925</v>
      </c>
      <c r="Q152" s="3">
        <f t="shared" si="2"/>
        <v>0.725</v>
      </c>
      <c r="R152" s="3">
        <f t="shared" si="3"/>
        <v>0.7375</v>
      </c>
      <c r="T152" s="3">
        <f t="shared" si="4"/>
        <v>0.74</v>
      </c>
      <c r="U152" s="3">
        <f t="shared" si="5"/>
        <v>1.16</v>
      </c>
      <c r="V152" s="3">
        <f t="shared" si="6"/>
        <v>0.236</v>
      </c>
    </row>
    <row r="153">
      <c r="A153" s="1" t="s">
        <v>565</v>
      </c>
      <c r="B153" s="1" t="s">
        <v>560</v>
      </c>
      <c r="C153" s="1" t="s">
        <v>21</v>
      </c>
      <c r="D153" s="1" t="s">
        <v>20</v>
      </c>
      <c r="E153" s="1" t="s">
        <v>24</v>
      </c>
      <c r="F153" s="1" t="s">
        <v>20</v>
      </c>
      <c r="G153" s="1" t="s">
        <v>22</v>
      </c>
      <c r="H153" s="1" t="s">
        <v>388</v>
      </c>
      <c r="I153" s="1" t="s">
        <v>22</v>
      </c>
      <c r="J153" s="1" t="s">
        <v>457</v>
      </c>
      <c r="K153" s="1" t="s">
        <v>300</v>
      </c>
      <c r="L153" s="1" t="s">
        <v>129</v>
      </c>
      <c r="M153" s="1" t="s">
        <v>206</v>
      </c>
      <c r="N153" s="1" t="s">
        <v>206</v>
      </c>
      <c r="P153" s="3">
        <f t="shared" si="1"/>
        <v>0.825</v>
      </c>
      <c r="Q153" s="3">
        <f t="shared" si="2"/>
        <v>0.65</v>
      </c>
      <c r="R153" s="3">
        <f t="shared" si="3"/>
        <v>0.8875</v>
      </c>
      <c r="T153" s="3">
        <f t="shared" si="4"/>
        <v>0.66</v>
      </c>
      <c r="U153" s="3">
        <f t="shared" si="5"/>
        <v>1.04</v>
      </c>
      <c r="V153" s="3">
        <f t="shared" si="6"/>
        <v>0.284</v>
      </c>
    </row>
    <row r="154">
      <c r="A154" s="1" t="s">
        <v>566</v>
      </c>
      <c r="B154" s="1" t="s">
        <v>560</v>
      </c>
      <c r="C154" s="1" t="s">
        <v>22</v>
      </c>
      <c r="D154" s="1" t="s">
        <v>24</v>
      </c>
      <c r="E154" s="1" t="s">
        <v>42</v>
      </c>
      <c r="F154" s="1" t="s">
        <v>21</v>
      </c>
      <c r="G154" s="1" t="s">
        <v>21</v>
      </c>
      <c r="H154" s="1" t="s">
        <v>273</v>
      </c>
      <c r="I154" s="1" t="s">
        <v>22</v>
      </c>
      <c r="J154" s="1" t="s">
        <v>427</v>
      </c>
      <c r="K154" s="1" t="s">
        <v>43</v>
      </c>
      <c r="L154" s="1" t="s">
        <v>225</v>
      </c>
      <c r="M154" s="1" t="s">
        <v>206</v>
      </c>
      <c r="N154" s="1" t="s">
        <v>24</v>
      </c>
      <c r="P154" s="3">
        <f t="shared" si="1"/>
        <v>0.6125</v>
      </c>
      <c r="Q154" s="3">
        <f t="shared" si="2"/>
        <v>0.9875</v>
      </c>
      <c r="R154" s="3">
        <f t="shared" si="3"/>
        <v>0.625</v>
      </c>
      <c r="T154" s="3">
        <f t="shared" si="4"/>
        <v>0.49</v>
      </c>
      <c r="U154" s="3">
        <f t="shared" si="5"/>
        <v>1.58</v>
      </c>
      <c r="V154" s="3">
        <f t="shared" si="6"/>
        <v>0.2</v>
      </c>
    </row>
    <row r="155">
      <c r="A155" s="1" t="s">
        <v>567</v>
      </c>
      <c r="B155" s="1" t="s">
        <v>560</v>
      </c>
      <c r="C155" s="1" t="s">
        <v>22</v>
      </c>
      <c r="D155" s="1" t="s">
        <v>20</v>
      </c>
      <c r="E155" s="1" t="s">
        <v>21</v>
      </c>
      <c r="F155" s="1" t="s">
        <v>22</v>
      </c>
      <c r="G155" s="1" t="s">
        <v>24</v>
      </c>
      <c r="H155" s="1" t="s">
        <v>568</v>
      </c>
      <c r="I155" s="1" t="s">
        <v>20</v>
      </c>
      <c r="J155" s="1" t="s">
        <v>349</v>
      </c>
      <c r="K155" s="1" t="s">
        <v>82</v>
      </c>
      <c r="L155" s="1" t="s">
        <v>30</v>
      </c>
      <c r="M155" s="1" t="s">
        <v>24</v>
      </c>
      <c r="N155" s="1" t="s">
        <v>24</v>
      </c>
      <c r="P155" s="3">
        <f t="shared" si="1"/>
        <v>0.8375</v>
      </c>
      <c r="Q155" s="3">
        <f t="shared" si="2"/>
        <v>0.8125</v>
      </c>
      <c r="R155" s="3">
        <f t="shared" si="3"/>
        <v>0.725</v>
      </c>
      <c r="T155" s="3">
        <f t="shared" si="4"/>
        <v>0.67</v>
      </c>
      <c r="U155" s="3">
        <f t="shared" si="5"/>
        <v>1.3</v>
      </c>
      <c r="V155" s="3">
        <f t="shared" si="6"/>
        <v>0.232</v>
      </c>
    </row>
    <row r="156">
      <c r="A156" s="1" t="s">
        <v>418</v>
      </c>
      <c r="B156" s="1" t="s">
        <v>36</v>
      </c>
      <c r="C156" s="1" t="s">
        <v>21</v>
      </c>
      <c r="D156" s="1" t="s">
        <v>20</v>
      </c>
      <c r="E156" s="1" t="s">
        <v>24</v>
      </c>
      <c r="F156" s="1" t="s">
        <v>22</v>
      </c>
      <c r="G156" s="1" t="s">
        <v>20</v>
      </c>
      <c r="H156" s="1" t="s">
        <v>33</v>
      </c>
      <c r="I156" s="1" t="s">
        <v>42</v>
      </c>
      <c r="J156" s="1" t="s">
        <v>375</v>
      </c>
      <c r="K156" s="1" t="s">
        <v>82</v>
      </c>
      <c r="L156" s="1" t="s">
        <v>379</v>
      </c>
      <c r="M156" s="1" t="s">
        <v>24</v>
      </c>
      <c r="N156" s="1" t="s">
        <v>24</v>
      </c>
      <c r="P156" s="3">
        <f t="shared" si="1"/>
        <v>0.85</v>
      </c>
      <c r="Q156" s="3">
        <f t="shared" si="2"/>
        <v>0.675</v>
      </c>
      <c r="R156" s="3">
        <f t="shared" si="3"/>
        <v>0.8875</v>
      </c>
      <c r="T156" s="3">
        <f t="shared" si="4"/>
        <v>0.68</v>
      </c>
      <c r="U156" s="3">
        <f t="shared" si="5"/>
        <v>1.08</v>
      </c>
      <c r="V156" s="3">
        <f t="shared" si="6"/>
        <v>0.284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38"/>
  </cols>
  <sheetData>
    <row r="1">
      <c r="A1" s="3" t="str">
        <f>(Zaci!B2-Obory!B2)^2 + (Zaci!C2-Obory!C2)^2 + (Zaci!D2-Obory!D2)^2 + (Zaci!E2-Obory!E2)^2 + (Zaci!F2-Obory!F2)^2</f>
        <v>#REF!</v>
      </c>
    </row>
  </sheetData>
  <drawing r:id="rId1"/>
</worksheet>
</file>